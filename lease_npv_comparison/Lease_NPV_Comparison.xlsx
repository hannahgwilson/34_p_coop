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se Comparison" sheetId="1" state="visible" r:id="rId3"/>
    <sheet name="Cash Flow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<sst xmlns="http://schemas.openxmlformats.org/spreadsheetml/2006/main" count="49" uniqueCount="35">
  <si>
    <t xml:space="preserve">Lease NPV Comparison — Building Owner</t>
  </si>
  <si>
    <t xml:space="preserve">You own the building. Rent = your income. Investment = your cost to prepare the space.</t>
  </si>
  <si>
    <t xml:space="preserve">SHARED ASSUMPTIONS</t>
  </si>
  <si>
    <t xml:space="preserve">Discount Rate (Annual)</t>
  </si>
  <si>
    <t xml:space="preserve">Total Analysis Months</t>
  </si>
  <si>
    <t xml:space="preserve">Monthly Discount Rate</t>
  </si>
  <si>
    <t xml:space="preserve">Analysis Horizon (Years)</t>
  </si>
  <si>
    <t xml:space="preserve">LEASE A  —  INPUTS</t>
  </si>
  <si>
    <t xml:space="preserve">LEASE B  —  INPUTS</t>
  </si>
  <si>
    <t xml:space="preserve">Monthly Rent (Income to You)</t>
  </si>
  <si>
    <t xml:space="preserve">Lease Term (Years)</t>
  </si>
  <si>
    <t xml:space="preserve">Your Upfront Investment</t>
  </si>
  <si>
    <t xml:space="preserve">Annual Rent Escalation</t>
  </si>
  <si>
    <t xml:space="preserve">Vacancy Between Leases (Months)</t>
  </si>
  <si>
    <t xml:space="preserve">Lease Cycle (Lease + Vacancy)</t>
  </si>
  <si>
    <t xml:space="preserve">Net NPV over Full Horizon</t>
  </si>
  <si>
    <t xml:space="preserve">Net NPV per Month</t>
  </si>
  <si>
    <t xml:space="preserve">COMPARISON — OVER SAME TIME HORIZON</t>
  </si>
  <si>
    <t xml:space="preserve">Metric</t>
  </si>
  <si>
    <t xml:space="preserve">Lease A</t>
  </si>
  <si>
    <t xml:space="preserve">Lease B</t>
  </si>
  <si>
    <t xml:space="preserve">A vs B</t>
  </si>
  <si>
    <t xml:space="preserve">Monthly Rent</t>
  </si>
  <si>
    <t xml:space="preserve">Vacancy Between Leases (Mo)</t>
  </si>
  <si>
    <t xml:space="preserve">Net NPV over Horizon</t>
  </si>
  <si>
    <t xml:space="preserve">Both leases evaluated over the same horizon. Shorter leases cycle through lease + vacancy periods.</t>
  </si>
  <si>
    <t xml:space="preserve">Monthly Cash Flow Detail (Over Full Analysis Horizon)</t>
  </si>
  <si>
    <t xml:space="preserve">LEASE A — RENT INCOME (with vacancy cycling)</t>
  </si>
  <si>
    <t xml:space="preserve">LEASE B — RENT INCOME (with vacancy cycling)</t>
  </si>
  <si>
    <t xml:space="preserve">Month</t>
  </si>
  <si>
    <t xml:space="preserve">Rent Income</t>
  </si>
  <si>
    <t xml:space="preserve">Discount Factor</t>
  </si>
  <si>
    <t xml:space="preserve">PV of Income</t>
  </si>
  <si>
    <t xml:space="preserve">TOTAL INCOME</t>
  </si>
  <si>
    <t xml:space="preserve">NET (Income − Investment)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</si>
</sst>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"/>
    <numFmt numFmtId="167" formatCode="0.000%"/>
    <numFmt numFmtId="168" formatCode="\$#,##0;&quot;($&quot;#,##0\);\-"/>
    <numFmt numFmtId="169" formatCode="0&quot; months&quot;"/>
    <numFmt numFmtId="170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E2EFDA"/>
      </patternFill>
    </fill>
    <fill>
      <patternFill patternType="solid">
        <fgColor rgb="FFDCE6F1"/>
        <bgColor rgb="FFD6E4F0"/>
      </patternFill>
    </fill>
    <fill>
      <patternFill patternType="solid">
        <fgColor rgb="FFD6E4F0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5" min="5" style="0" width="32"/>
    <col collapsed="false" customWidth="true" hidden="false" outlineLevel="0" max="6" min="6" style="0" width="1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</row>
    <row r="7" customFormat="false" ht="15" hidden="false" customHeight="false" outlineLevel="0" collapsed="false">
      <c r="B7" s="4" t="s">
        <v>3</v>
      </c>
      <c r="C7" s="5" t="n">
        <v>0.08</v>
      </c>
      <c r="E7" s="4" t="s">
        <v>4</v>
      </c>
      <c r="F7" s="6" t="n">
        <f aca="false">C9*12</f>
        <v>60</v>
      </c>
    </row>
    <row r="8" customFormat="false" ht="15" hidden="false" customHeight="false" outlineLevel="0" collapsed="false">
      <c r="B8" s="4" t="s">
        <v>5</v>
      </c>
      <c r="C8" s="7" t="n">
        <f aca="false">(1+C7)^(1/12)-1</f>
        <v>0.00643403011000343</v>
      </c>
    </row>
    <row r="9" customFormat="false" ht="15" hidden="false" customHeight="false" outlineLevel="0" collapsed="false">
      <c r="B9" s="4" t="s">
        <v>6</v>
      </c>
      <c r="C9" s="6" t="n">
        <f aca="false">MAX(C14,F14)</f>
        <v>5</v>
      </c>
    </row>
    <row r="11" customFormat="false" ht="15" hidden="false" customHeight="false" outlineLevel="0" collapsed="false">
      <c r="B11" s="8" t="s">
        <v>7</v>
      </c>
      <c r="C11" s="8"/>
      <c r="E11" s="9" t="s">
        <v>8</v>
      </c>
      <c r="F11" s="9"/>
    </row>
    <row r="13" customFormat="false" ht="15" hidden="false" customHeight="false" outlineLevel="0" collapsed="false">
      <c r="B13" s="4" t="s">
        <v>9</v>
      </c>
      <c r="C13" s="10" t="n">
        <v>4500</v>
      </c>
      <c r="E13" s="4" t="s">
        <v>9</v>
      </c>
      <c r="F13" s="10" t="n">
        <v>4800</v>
      </c>
    </row>
    <row r="14" customFormat="false" ht="15" hidden="false" customHeight="false" outlineLevel="0" collapsed="false">
      <c r="B14" s="4" t="s">
        <v>10</v>
      </c>
      <c r="C14" s="11" t="n">
        <v>1</v>
      </c>
      <c r="E14" s="4" t="s">
        <v>10</v>
      </c>
      <c r="F14" s="11" t="n">
        <v>5</v>
      </c>
    </row>
    <row r="15" customFormat="false" ht="15" hidden="false" customHeight="false" outlineLevel="0" collapsed="false">
      <c r="B15" s="4" t="s">
        <v>11</v>
      </c>
      <c r="C15" s="10" t="n">
        <v>0</v>
      </c>
      <c r="E15" s="4" t="s">
        <v>11</v>
      </c>
      <c r="F15" s="10" t="n">
        <v>35000</v>
      </c>
    </row>
    <row r="16" customFormat="false" ht="15" hidden="false" customHeight="false" outlineLevel="0" collapsed="false">
      <c r="B16" s="4" t="s">
        <v>12</v>
      </c>
      <c r="C16" s="5" t="n">
        <v>0.03</v>
      </c>
      <c r="E16" s="4" t="s">
        <v>12</v>
      </c>
      <c r="F16" s="5" t="n">
        <v>0.03</v>
      </c>
    </row>
    <row r="17" customFormat="false" ht="15" hidden="false" customHeight="false" outlineLevel="0" collapsed="false">
      <c r="B17" s="4" t="s">
        <v>13</v>
      </c>
      <c r="C17" s="11" t="n">
        <v>3</v>
      </c>
      <c r="E17" s="4" t="s">
        <v>13</v>
      </c>
      <c r="F17" s="11" t="n">
        <v>3</v>
      </c>
    </row>
    <row r="19" customFormat="false" ht="15" hidden="false" customHeight="false" outlineLevel="0" collapsed="false">
      <c r="B19" s="4" t="s">
        <v>14</v>
      </c>
      <c r="C19" s="12" t="n">
        <f aca="false">C14*12+C17</f>
        <v>15</v>
      </c>
      <c r="E19" s="4" t="s">
        <v>14</v>
      </c>
      <c r="F19" s="12" t="n">
        <f aca="false">F14*12+F17</f>
        <v>63</v>
      </c>
    </row>
    <row r="20" customFormat="false" ht="15" hidden="false" customHeight="false" outlineLevel="0" collapsed="false">
      <c r="B20" s="4" t="s">
        <v>15</v>
      </c>
      <c r="C20" s="13" t="n">
        <f aca="false">'Cash Flows'!E67</f>
        <v>190003.811097799</v>
      </c>
      <c r="E20" s="4" t="s">
        <v>15</v>
      </c>
      <c r="F20" s="14" t="n">
        <f aca="false">'Cash Flows'!I67</f>
        <v>216881.746327072</v>
      </c>
    </row>
    <row r="21" customFormat="false" ht="15" hidden="false" customHeight="false" outlineLevel="0" collapsed="false">
      <c r="B21" s="4" t="s">
        <v>16</v>
      </c>
      <c r="C21" s="15" t="n">
        <f aca="false">IF(F7&gt;0,C20/F7,0)</f>
        <v>3166.73018496331</v>
      </c>
      <c r="E21" s="4" t="s">
        <v>16</v>
      </c>
      <c r="F21" s="15" t="n">
        <f aca="false">IF(F7&gt;0,F20/F7,0)</f>
        <v>3614.69577211786</v>
      </c>
    </row>
    <row r="23" customFormat="false" ht="15" hidden="false" customHeight="false" outlineLevel="0" collapsed="false">
      <c r="B23" s="3" t="s">
        <v>17</v>
      </c>
      <c r="C23" s="3"/>
      <c r="D23" s="3"/>
      <c r="E23" s="3"/>
      <c r="F23" s="3"/>
    </row>
    <row r="25" customFormat="false" ht="15" hidden="false" customHeight="false" outlineLevel="0" collapsed="false">
      <c r="B25" s="16" t="s">
        <v>18</v>
      </c>
      <c r="C25" s="16" t="s">
        <v>19</v>
      </c>
      <c r="D25" s="16"/>
      <c r="E25" s="16" t="s">
        <v>20</v>
      </c>
      <c r="F25" s="16" t="s">
        <v>21</v>
      </c>
    </row>
    <row r="26" customFormat="false" ht="15" hidden="false" customHeight="false" outlineLevel="0" collapsed="false">
      <c r="B26" s="17" t="s">
        <v>22</v>
      </c>
      <c r="C26" s="15" t="n">
        <f aca="false">C13</f>
        <v>4500</v>
      </c>
      <c r="E26" s="15" t="n">
        <f aca="false">F13</f>
        <v>4800</v>
      </c>
      <c r="F26" s="15" t="n">
        <f aca="false">C13-F13</f>
        <v>-300</v>
      </c>
    </row>
    <row r="27" customFormat="false" ht="15" hidden="false" customHeight="false" outlineLevel="0" collapsed="false">
      <c r="B27" s="17" t="s">
        <v>10</v>
      </c>
      <c r="C27" s="6" t="n">
        <f aca="false">C14</f>
        <v>1</v>
      </c>
      <c r="E27" s="6" t="n">
        <f aca="false">F14</f>
        <v>5</v>
      </c>
      <c r="F27" s="6" t="n">
        <f aca="false">C14-F14</f>
        <v>-4</v>
      </c>
    </row>
    <row r="28" customFormat="false" ht="15" hidden="false" customHeight="false" outlineLevel="0" collapsed="false">
      <c r="B28" s="17" t="s">
        <v>11</v>
      </c>
      <c r="C28" s="15" t="n">
        <f aca="false">C15</f>
        <v>0</v>
      </c>
      <c r="E28" s="15" t="n">
        <f aca="false">F15</f>
        <v>35000</v>
      </c>
      <c r="F28" s="15" t="n">
        <f aca="false">C15-F15</f>
        <v>-35000</v>
      </c>
    </row>
    <row r="29" customFormat="false" ht="15" hidden="false" customHeight="false" outlineLevel="0" collapsed="false">
      <c r="B29" s="17" t="s">
        <v>23</v>
      </c>
      <c r="C29" s="6" t="n">
        <f aca="false">C17</f>
        <v>3</v>
      </c>
      <c r="E29" s="6" t="n">
        <f aca="false">F17</f>
        <v>3</v>
      </c>
      <c r="F29" s="6" t="n">
        <f aca="false">C17-F17</f>
        <v>0</v>
      </c>
    </row>
    <row r="30" customFormat="false" ht="15" hidden="false" customHeight="false" outlineLevel="0" collapsed="false">
      <c r="B30" s="17" t="s">
        <v>24</v>
      </c>
      <c r="C30" s="15" t="n">
        <f aca="false">C20</f>
        <v>190003.811097799</v>
      </c>
      <c r="E30" s="15" t="n">
        <f aca="false">F20</f>
        <v>216881.746327072</v>
      </c>
      <c r="F30" s="15" t="n">
        <f aca="false">C20-F20</f>
        <v>-26877.935229273</v>
      </c>
    </row>
    <row r="31" customFormat="false" ht="15" hidden="false" customHeight="false" outlineLevel="0" collapsed="false">
      <c r="B31" s="17" t="s">
        <v>16</v>
      </c>
      <c r="C31" s="15" t="n">
        <f aca="false">C21</f>
        <v>3166.73018496331</v>
      </c>
      <c r="E31" s="15" t="n">
        <f aca="false">F21</f>
        <v>3614.69577211786</v>
      </c>
      <c r="F31" s="15" t="n">
        <f aca="false">C21-F21</f>
        <v>-447.96558715455</v>
      </c>
    </row>
    <row r="33" customFormat="false" ht="16.15" hidden="false" customHeight="false" outlineLevel="0" collapsed="false">
      <c r="B33" s="18" t="str">
        <f aca="false">IF(C21&gt;F21,"RECOMMENDATION: Lease A earns $"&amp;TEXT(C21-F21,"#,##0")&amp;" more/month over "&amp;TEXT(C9,"0")&amp;" years","RECOMMENDATION: Lease B earns $"&amp;TEXT(F21-C21,"#,##0")&amp;" more/month over "&amp;TEXT(C9,"0")&amp;" years")</f>
        <v>RECOMMENDATION: Lease B earns $448 more/month over 5 years</v>
      </c>
      <c r="C33" s="18"/>
      <c r="D33" s="18"/>
      <c r="E33" s="18"/>
      <c r="F33" s="18"/>
    </row>
    <row r="34" customFormat="false" ht="15" hidden="false" customHeight="false" outlineLevel="0" collapsed="false">
      <c r="B34" s="19" t="s">
        <v>25</v>
      </c>
      <c r="C34" s="19"/>
      <c r="D34" s="19"/>
      <c r="E34" s="19"/>
      <c r="F34" s="19"/>
    </row>
  </sheetData>
  <mergeCells count="6">
    <mergeCell ref="B5:F5"/>
    <mergeCell ref="B11:C11"/>
    <mergeCell ref="E11:F11"/>
    <mergeCell ref="B23:F23"/>
    <mergeCell ref="B33:F33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5" min="3" style="0" width="18"/>
    <col collapsed="false" customWidth="true" hidden="false" outlineLevel="0" max="6" min="6" style="0" width="5"/>
    <col collapsed="false" customWidth="true" hidden="false" outlineLevel="0" max="9" min="7" style="0" width="18"/>
  </cols>
  <sheetData>
    <row r="2" customFormat="false" ht="17.35" hidden="false" customHeight="false" outlineLevel="0" collapsed="false">
      <c r="B2" s="20" t="s">
        <v>26</v>
      </c>
    </row>
    <row r="4" customFormat="false" ht="15" hidden="false" customHeight="false" outlineLevel="0" collapsed="false">
      <c r="B4" s="8" t="s">
        <v>27</v>
      </c>
      <c r="C4" s="8"/>
      <c r="D4" s="8"/>
      <c r="E4" s="8"/>
      <c r="G4" s="9" t="s">
        <v>28</v>
      </c>
      <c r="H4" s="9"/>
      <c r="I4" s="9"/>
    </row>
    <row r="5" customFormat="false" ht="15" hidden="false" customHeight="false" outlineLevel="0" collapsed="false">
      <c r="B5" s="21" t="s">
        <v>29</v>
      </c>
      <c r="C5" s="21" t="s">
        <v>30</v>
      </c>
      <c r="D5" s="21" t="s">
        <v>31</v>
      </c>
      <c r="E5" s="21" t="s">
        <v>32</v>
      </c>
      <c r="G5" s="21" t="s">
        <v>30</v>
      </c>
      <c r="H5" s="21" t="s">
        <v>31</v>
      </c>
      <c r="I5" s="21" t="s">
        <v>32</v>
      </c>
    </row>
    <row r="6" customFormat="false" ht="15" hidden="false" customHeight="false" outlineLevel="0" collapsed="false">
      <c r="B6" s="22" t="n">
        <v>1</v>
      </c>
      <c r="C6" s="23" t="n">
        <f aca="false">IF(B6&lt;='Lease Comparison'!F7,IF(MOD(B6-1,'Lease Comparison'!C19)&lt;'Lease Comparison'!C14*12,'Lease Comparison'!C13*(1+'Lease Comparison'!C16)^INT((B6-1)/12),0),0)</f>
        <v>4500</v>
      </c>
      <c r="D6" s="24" t="n">
        <f aca="false">IF(B6&lt;='Lease Comparison'!F7,1/(1+'Lease Comparison'!C8)^B6,0)</f>
        <v>0.993607101988294</v>
      </c>
      <c r="E6" s="15" t="n">
        <f aca="false">C6*D6</f>
        <v>4471.23195894732</v>
      </c>
      <c r="G6" s="23" t="n">
        <f aca="false">IF(B6&lt;='Lease Comparison'!F7,IF(MOD(B6-1,'Lease Comparison'!F19)&lt;'Lease Comparison'!F14*12,'Lease Comparison'!F13*(1+'Lease Comparison'!F16)^INT((B6-1)/12),0),0)</f>
        <v>4800</v>
      </c>
      <c r="H6" s="24" t="n">
        <f aca="false">IF(B6&lt;='Lease Comparison'!F7,1/(1+'Lease Comparison'!C8)^B6,0)</f>
        <v>0.993607101988294</v>
      </c>
      <c r="I6" s="15" t="n">
        <f aca="false">G6*H6</f>
        <v>4769.31408954381</v>
      </c>
    </row>
    <row r="7" customFormat="false" ht="15" hidden="false" customHeight="false" outlineLevel="0" collapsed="false">
      <c r="B7" s="22" t="n">
        <v>2</v>
      </c>
      <c r="C7" s="23" t="n">
        <f aca="false">IF(B7&lt;='Lease Comparison'!F7,IF(MOD(B7-1,'Lease Comparison'!C19)&lt;'Lease Comparison'!C14*12,'Lease Comparison'!C13*(1+'Lease Comparison'!C16)^INT((B7-1)/12),0),0)</f>
        <v>4500</v>
      </c>
      <c r="D7" s="24" t="n">
        <f aca="false">IF(B7&lt;='Lease Comparison'!F7,1/(1+'Lease Comparison'!C8)^B7,0)</f>
        <v>0.987255073121576</v>
      </c>
      <c r="E7" s="15" t="n">
        <f aca="false">C7*D7</f>
        <v>4442.64782904709</v>
      </c>
      <c r="G7" s="23" t="n">
        <f aca="false">IF(B7&lt;='Lease Comparison'!F7,IF(MOD(B7-1,'Lease Comparison'!F19)&lt;'Lease Comparison'!F14*12,'Lease Comparison'!F13*(1+'Lease Comparison'!F16)^INT((B7-1)/12),0),0)</f>
        <v>4800</v>
      </c>
      <c r="H7" s="24" t="n">
        <f aca="false">IF(B7&lt;='Lease Comparison'!F7,1/(1+'Lease Comparison'!C8)^B7,0)</f>
        <v>0.987255073121576</v>
      </c>
      <c r="I7" s="15" t="n">
        <f aca="false">G7*H7</f>
        <v>4738.82435098357</v>
      </c>
    </row>
    <row r="8" customFormat="false" ht="15" hidden="false" customHeight="false" outlineLevel="0" collapsed="false">
      <c r="B8" s="22" t="n">
        <v>3</v>
      </c>
      <c r="C8" s="23" t="n">
        <f aca="false">IF(B8&lt;='Lease Comparison'!F7,IF(MOD(B8-1,'Lease Comparison'!C19)&lt;'Lease Comparison'!C14*12,'Lease Comparison'!C13*(1+'Lease Comparison'!C16)^INT((B8-1)/12),0),0)</f>
        <v>4500</v>
      </c>
      <c r="D8" s="24" t="n">
        <f aca="false">IF(B8&lt;='Lease Comparison'!F7,1/(1+'Lease Comparison'!C8)^B8,0)</f>
        <v>0.980943652127571</v>
      </c>
      <c r="E8" s="15" t="n">
        <f aca="false">C8*D8</f>
        <v>4414.24643457407</v>
      </c>
      <c r="G8" s="23" t="n">
        <f aca="false">IF(B8&lt;='Lease Comparison'!F7,IF(MOD(B8-1,'Lease Comparison'!F19)&lt;'Lease Comparison'!F14*12,'Lease Comparison'!F13*(1+'Lease Comparison'!F16)^INT((B8-1)/12),0),0)</f>
        <v>4800</v>
      </c>
      <c r="H8" s="24" t="n">
        <f aca="false">IF(B8&lt;='Lease Comparison'!F7,1/(1+'Lease Comparison'!C8)^B8,0)</f>
        <v>0.980943652127571</v>
      </c>
      <c r="I8" s="15" t="n">
        <f aca="false">G8*H8</f>
        <v>4708.52953021234</v>
      </c>
    </row>
    <row r="9" customFormat="false" ht="15" hidden="false" customHeight="false" outlineLevel="0" collapsed="false">
      <c r="B9" s="22" t="n">
        <v>4</v>
      </c>
      <c r="C9" s="23" t="n">
        <f aca="false">IF(B9&lt;='Lease Comparison'!F7,IF(MOD(B9-1,'Lease Comparison'!C19)&lt;'Lease Comparison'!C14*12,'Lease Comparison'!C13*(1+'Lease Comparison'!C16)^INT((B9-1)/12),0),0)</f>
        <v>4500</v>
      </c>
      <c r="D9" s="24" t="n">
        <f aca="false">IF(B9&lt;='Lease Comparison'!F7,1/(1+'Lease Comparison'!C8)^B9,0)</f>
        <v>0.974672579404289</v>
      </c>
      <c r="E9" s="15" t="n">
        <f aca="false">C9*D9</f>
        <v>4386.0266073193</v>
      </c>
      <c r="G9" s="23" t="n">
        <f aca="false">IF(B9&lt;='Lease Comparison'!F7,IF(MOD(B9-1,'Lease Comparison'!F19)&lt;'Lease Comparison'!F14*12,'Lease Comparison'!F13*(1+'Lease Comparison'!F16)^INT((B9-1)/12),0),0)</f>
        <v>4800</v>
      </c>
      <c r="H9" s="24" t="n">
        <f aca="false">IF(B9&lt;='Lease Comparison'!F7,1/(1+'Lease Comparison'!C8)^B9,0)</f>
        <v>0.974672579404289</v>
      </c>
      <c r="I9" s="15" t="n">
        <f aca="false">G9*H9</f>
        <v>4678.42838114059</v>
      </c>
    </row>
    <row r="10" customFormat="false" ht="15" hidden="false" customHeight="false" outlineLevel="0" collapsed="false">
      <c r="B10" s="22" t="n">
        <v>5</v>
      </c>
      <c r="C10" s="23" t="n">
        <f aca="false">IF(B10&lt;='Lease Comparison'!F7,IF(MOD(B10-1,'Lease Comparison'!C19)&lt;'Lease Comparison'!C14*12,'Lease Comparison'!C13*(1+'Lease Comparison'!C16)^INT((B10-1)/12),0),0)</f>
        <v>4500</v>
      </c>
      <c r="D10" s="24" t="n">
        <f aca="false">IF(B10&lt;='Lease Comparison'!F7,1/(1+'Lease Comparison'!C8)^B10,0)</f>
        <v>0.968441597009351</v>
      </c>
      <c r="E10" s="15" t="n">
        <f aca="false">C10*D10</f>
        <v>4357.98718654208</v>
      </c>
      <c r="G10" s="23" t="n">
        <f aca="false">IF(B10&lt;='Lease Comparison'!F7,IF(MOD(B10-1,'Lease Comparison'!F19)&lt;'Lease Comparison'!F14*12,'Lease Comparison'!F13*(1+'Lease Comparison'!F16)^INT((B10-1)/12),0),0)</f>
        <v>4800</v>
      </c>
      <c r="H10" s="24" t="n">
        <f aca="false">IF(B10&lt;='Lease Comparison'!F7,1/(1+'Lease Comparison'!C8)^B10,0)</f>
        <v>0.968441597009351</v>
      </c>
      <c r="I10" s="15" t="n">
        <f aca="false">G10*H10</f>
        <v>4648.51966564488</v>
      </c>
    </row>
    <row r="11" customFormat="false" ht="15" hidden="false" customHeight="false" outlineLevel="0" collapsed="false">
      <c r="B11" s="22" t="n">
        <v>6</v>
      </c>
      <c r="C11" s="23" t="n">
        <f aca="false">IF(B11&lt;='Lease Comparison'!F7,IF(MOD(B11-1,'Lease Comparison'!C19)&lt;'Lease Comparison'!C14*12,'Lease Comparison'!C13*(1+'Lease Comparison'!C16)^INT((B11-1)/12),0),0)</f>
        <v>4500</v>
      </c>
      <c r="D11" s="24" t="n">
        <f aca="false">IF(B11&lt;='Lease Comparison'!F7,1/(1+'Lease Comparison'!C8)^B11,0)</f>
        <v>0.962250448649376</v>
      </c>
      <c r="E11" s="15" t="n">
        <f aca="false">C11*D11</f>
        <v>4330.12701892219</v>
      </c>
      <c r="G11" s="23" t="n">
        <f aca="false">IF(B11&lt;='Lease Comparison'!F7,IF(MOD(B11-1,'Lease Comparison'!F19)&lt;'Lease Comparison'!F14*12,'Lease Comparison'!F13*(1+'Lease Comparison'!F16)^INT((B11-1)/12),0),0)</f>
        <v>4800</v>
      </c>
      <c r="H11" s="24" t="n">
        <f aca="false">IF(B11&lt;='Lease Comparison'!F7,1/(1+'Lease Comparison'!C8)^B11,0)</f>
        <v>0.962250448649376</v>
      </c>
      <c r="I11" s="15" t="n">
        <f aca="false">G11*H11</f>
        <v>4618.80215351701</v>
      </c>
    </row>
    <row r="12" customFormat="false" ht="15" hidden="false" customHeight="false" outlineLevel="0" collapsed="false">
      <c r="B12" s="22" t="n">
        <v>7</v>
      </c>
      <c r="C12" s="23" t="n">
        <f aca="false">IF(B12&lt;='Lease Comparison'!F7,IF(MOD(B12-1,'Lease Comparison'!C19)&lt;'Lease Comparison'!C14*12,'Lease Comparison'!C13*(1+'Lease Comparison'!C16)^INT((B12-1)/12),0),0)</f>
        <v>4500</v>
      </c>
      <c r="D12" s="24" t="n">
        <f aca="false">IF(B12&lt;='Lease Comparison'!F7,1/(1+'Lease Comparison'!C8)^B12,0)</f>
        <v>0.956098879669443</v>
      </c>
      <c r="E12" s="15" t="n">
        <f aca="false">C12*D12</f>
        <v>4302.44495851249</v>
      </c>
      <c r="G12" s="23" t="n">
        <f aca="false">IF(B12&lt;='Lease Comparison'!F7,IF(MOD(B12-1,'Lease Comparison'!F19)&lt;'Lease Comparison'!F14*12,'Lease Comparison'!F13*(1+'Lease Comparison'!F16)^INT((B12-1)/12),0),0)</f>
        <v>4800</v>
      </c>
      <c r="H12" s="24" t="n">
        <f aca="false">IF(B12&lt;='Lease Comparison'!F7,1/(1+'Lease Comparison'!C8)^B12,0)</f>
        <v>0.956098879669443</v>
      </c>
      <c r="I12" s="15" t="n">
        <f aca="false">G12*H12</f>
        <v>4589.27462241332</v>
      </c>
    </row>
    <row r="13" customFormat="false" ht="15" hidden="false" customHeight="false" outlineLevel="0" collapsed="false">
      <c r="B13" s="22" t="n">
        <v>8</v>
      </c>
      <c r="C13" s="23" t="n">
        <f aca="false">IF(B13&lt;='Lease Comparison'!F7,IF(MOD(B13-1,'Lease Comparison'!C19)&lt;'Lease Comparison'!C14*12,'Lease Comparison'!C13*(1+'Lease Comparison'!C16)^INT((B13-1)/12),0),0)</f>
        <v>4500</v>
      </c>
      <c r="D13" s="24" t="n">
        <f aca="false">IF(B13&lt;='Lease Comparison'!F7,1/(1+'Lease Comparison'!C8)^B13,0)</f>
        <v>0.94998663704261</v>
      </c>
      <c r="E13" s="15" t="n">
        <f aca="false">C13*D13</f>
        <v>4274.93986669174</v>
      </c>
      <c r="G13" s="23" t="n">
        <f aca="false">IF(B13&lt;='Lease Comparison'!F7,IF(MOD(B13-1,'Lease Comparison'!F19)&lt;'Lease Comparison'!F14*12,'Lease Comparison'!F13*(1+'Lease Comparison'!F16)^INT((B13-1)/12),0),0)</f>
        <v>4800</v>
      </c>
      <c r="H13" s="24" t="n">
        <f aca="false">IF(B13&lt;='Lease Comparison'!F7,1/(1+'Lease Comparison'!C8)^B13,0)</f>
        <v>0.94998663704261</v>
      </c>
      <c r="I13" s="15" t="n">
        <f aca="false">G13*H13</f>
        <v>4559.93585780453</v>
      </c>
    </row>
    <row r="14" customFormat="false" ht="15" hidden="false" customHeight="false" outlineLevel="0" collapsed="false">
      <c r="B14" s="22" t="n">
        <v>9</v>
      </c>
      <c r="C14" s="23" t="n">
        <f aca="false">IF(B14&lt;='Lease Comparison'!F7,IF(MOD(B14-1,'Lease Comparison'!C19)&lt;'Lease Comparison'!C14*12,'Lease Comparison'!C13*(1+'Lease Comparison'!C16)^INT((B14-1)/12),0),0)</f>
        <v>4500</v>
      </c>
      <c r="D14" s="24" t="n">
        <f aca="false">IF(B14&lt;='Lease Comparison'!F7,1/(1+'Lease Comparison'!C8)^B14,0)</f>
        <v>0.943913469359513</v>
      </c>
      <c r="E14" s="15" t="n">
        <f aca="false">C14*D14</f>
        <v>4247.61061211781</v>
      </c>
      <c r="G14" s="23" t="n">
        <f aca="false">IF(B14&lt;='Lease Comparison'!F7,IF(MOD(B14-1,'Lease Comparison'!F19)&lt;'Lease Comparison'!F14*12,'Lease Comparison'!F13*(1+'Lease Comparison'!F16)^INT((B14-1)/12),0),0)</f>
        <v>4800</v>
      </c>
      <c r="H14" s="24" t="n">
        <f aca="false">IF(B14&lt;='Lease Comparison'!F7,1/(1+'Lease Comparison'!C8)^B14,0)</f>
        <v>0.943913469359513</v>
      </c>
      <c r="I14" s="15" t="n">
        <f aca="false">G14*H14</f>
        <v>4530.78465292566</v>
      </c>
    </row>
    <row r="15" customFormat="false" ht="15" hidden="false" customHeight="false" outlineLevel="0" collapsed="false">
      <c r="B15" s="22" t="n">
        <v>10</v>
      </c>
      <c r="C15" s="23" t="n">
        <f aca="false">IF(B15&lt;='Lease Comparison'!F7,IF(MOD(B15-1,'Lease Comparison'!C19)&lt;'Lease Comparison'!C14*12,'Lease Comparison'!C13*(1+'Lease Comparison'!C16)^INT((B15-1)/12),0),0)</f>
        <v>4500</v>
      </c>
      <c r="D15" s="24" t="n">
        <f aca="false">IF(B15&lt;='Lease Comparison'!F7,1/(1+'Lease Comparison'!C8)^B15,0)</f>
        <v>0.937879126818022</v>
      </c>
      <c r="E15" s="15" t="n">
        <f aca="false">C15*D15</f>
        <v>4220.4560706811</v>
      </c>
      <c r="G15" s="23" t="n">
        <f aca="false">IF(B15&lt;='Lease Comparison'!F7,IF(MOD(B15-1,'Lease Comparison'!F19)&lt;'Lease Comparison'!F14*12,'Lease Comparison'!F13*(1+'Lease Comparison'!F16)^INT((B15-1)/12),0),0)</f>
        <v>4800</v>
      </c>
      <c r="H15" s="24" t="n">
        <f aca="false">IF(B15&lt;='Lease Comparison'!F7,1/(1+'Lease Comparison'!C8)^B15,0)</f>
        <v>0.937879126818022</v>
      </c>
      <c r="I15" s="15" t="n">
        <f aca="false">G15*H15</f>
        <v>4501.81980872651</v>
      </c>
    </row>
    <row r="16" customFormat="false" ht="15" hidden="false" customHeight="false" outlineLevel="0" collapsed="false">
      <c r="B16" s="22" t="n">
        <v>11</v>
      </c>
      <c r="C16" s="23" t="n">
        <f aca="false">IF(B16&lt;='Lease Comparison'!F7,IF(MOD(B16-1,'Lease Comparison'!C19)&lt;'Lease Comparison'!C14*12,'Lease Comparison'!C13*(1+'Lease Comparison'!C16)^INT((B16-1)/12),0),0)</f>
        <v>4500</v>
      </c>
      <c r="D16" s="24" t="n">
        <f aca="false">IF(B16&lt;='Lease Comparison'!F7,1/(1+'Lease Comparison'!C8)^B16,0)</f>
        <v>0.931883361212966</v>
      </c>
      <c r="E16" s="15" t="n">
        <f aca="false">C16*D16</f>
        <v>4193.47512545835</v>
      </c>
      <c r="G16" s="23" t="n">
        <f aca="false">IF(B16&lt;='Lease Comparison'!F7,IF(MOD(B16-1,'Lease Comparison'!F19)&lt;'Lease Comparison'!F14*12,'Lease Comparison'!F13*(1+'Lease Comparison'!F16)^INT((B16-1)/12),0),0)</f>
        <v>4800</v>
      </c>
      <c r="H16" s="24" t="n">
        <f aca="false">IF(B16&lt;='Lease Comparison'!F7,1/(1+'Lease Comparison'!C8)^B16,0)</f>
        <v>0.931883361212966</v>
      </c>
      <c r="I16" s="15" t="n">
        <f aca="false">G16*H16</f>
        <v>4473.04013382224</v>
      </c>
    </row>
    <row r="17" customFormat="false" ht="15" hidden="false" customHeight="false" outlineLevel="0" collapsed="false">
      <c r="B17" s="22" t="n">
        <v>12</v>
      </c>
      <c r="C17" s="23" t="n">
        <f aca="false">IF(B17&lt;='Lease Comparison'!F7,IF(MOD(B17-1,'Lease Comparison'!C19)&lt;'Lease Comparison'!C14*12,'Lease Comparison'!C13*(1+'Lease Comparison'!C16)^INT((B17-1)/12),0),0)</f>
        <v>4500</v>
      </c>
      <c r="D17" s="24" t="n">
        <f aca="false">IF(B17&lt;='Lease Comparison'!F7,1/(1+'Lease Comparison'!C8)^B17,0)</f>
        <v>0.925925925925926</v>
      </c>
      <c r="E17" s="15" t="n">
        <f aca="false">C17*D17</f>
        <v>4166.66666666667</v>
      </c>
      <c r="G17" s="23" t="n">
        <f aca="false">IF(B17&lt;='Lease Comparison'!F7,IF(MOD(B17-1,'Lease Comparison'!F19)&lt;'Lease Comparison'!F14*12,'Lease Comparison'!F13*(1+'Lease Comparison'!F16)^INT((B17-1)/12),0),0)</f>
        <v>4800</v>
      </c>
      <c r="H17" s="24" t="n">
        <f aca="false">IF(B17&lt;='Lease Comparison'!F7,1/(1+'Lease Comparison'!C8)^B17,0)</f>
        <v>0.925925925925926</v>
      </c>
      <c r="I17" s="15" t="n">
        <f aca="false">G17*H17</f>
        <v>4444.44444444445</v>
      </c>
    </row>
    <row r="18" customFormat="false" ht="15" hidden="false" customHeight="false" outlineLevel="0" collapsed="false">
      <c r="B18" s="22" t="n">
        <v>13</v>
      </c>
      <c r="C18" s="23" t="n">
        <f aca="false">IF(B18&lt;='Lease Comparison'!F7,IF(MOD(B18-1,'Lease Comparison'!C19)&lt;'Lease Comparison'!C14*12,'Lease Comparison'!C13*(1+'Lease Comparison'!C16)^INT((B18-1)/12),0),0)</f>
        <v>0</v>
      </c>
      <c r="D18" s="24" t="n">
        <f aca="false">IF(B18&lt;='Lease Comparison'!F7,1/(1+'Lease Comparison'!C8)^B18,0)</f>
        <v>0.920006575915088</v>
      </c>
      <c r="E18" s="15" t="n">
        <f aca="false">C18*D18</f>
        <v>0</v>
      </c>
      <c r="G18" s="23" t="n">
        <f aca="false">IF(B18&lt;='Lease Comparison'!F7,IF(MOD(B18-1,'Lease Comparison'!F19)&lt;'Lease Comparison'!F14*12,'Lease Comparison'!F13*(1+'Lease Comparison'!F16)^INT((B18-1)/12),0),0)</f>
        <v>4944</v>
      </c>
      <c r="H18" s="24" t="n">
        <f aca="false">IF(B18&lt;='Lease Comparison'!F7,1/(1+'Lease Comparison'!C8)^B18,0)</f>
        <v>0.920006575915088</v>
      </c>
      <c r="I18" s="15" t="n">
        <f aca="false">G18*H18</f>
        <v>4548.51251132419</v>
      </c>
    </row>
    <row r="19" customFormat="false" ht="15" hidden="false" customHeight="false" outlineLevel="0" collapsed="false">
      <c r="B19" s="22" t="n">
        <v>14</v>
      </c>
      <c r="C19" s="23" t="n">
        <f aca="false">IF(B19&lt;='Lease Comparison'!F7,IF(MOD(B19-1,'Lease Comparison'!C19)&lt;'Lease Comparison'!C14*12,'Lease Comparison'!C13*(1+'Lease Comparison'!C16)^INT((B19-1)/12),0),0)</f>
        <v>0</v>
      </c>
      <c r="D19" s="24" t="n">
        <f aca="false">IF(B19&lt;='Lease Comparison'!F7,1/(1+'Lease Comparison'!C8)^B19,0)</f>
        <v>0.914125067705163</v>
      </c>
      <c r="E19" s="15" t="n">
        <f aca="false">C19*D19</f>
        <v>0</v>
      </c>
      <c r="G19" s="23" t="n">
        <f aca="false">IF(B19&lt;='Lease Comparison'!F7,IF(MOD(B19-1,'Lease Comparison'!F19)&lt;'Lease Comparison'!F14*12,'Lease Comparison'!F13*(1+'Lease Comparison'!F16)^INT((B19-1)/12),0),0)</f>
        <v>4944</v>
      </c>
      <c r="H19" s="24" t="n">
        <f aca="false">IF(B19&lt;='Lease Comparison'!F7,1/(1+'Lease Comparison'!C8)^B19,0)</f>
        <v>0.914125067705163</v>
      </c>
      <c r="I19" s="15" t="n">
        <f aca="false">G19*H19</f>
        <v>4519.43433473433</v>
      </c>
    </row>
    <row r="20" customFormat="false" ht="15" hidden="false" customHeight="false" outlineLevel="0" collapsed="false">
      <c r="B20" s="22" t="n">
        <v>15</v>
      </c>
      <c r="C20" s="23" t="n">
        <f aca="false">IF(B20&lt;='Lease Comparison'!F7,IF(MOD(B20-1,'Lease Comparison'!C19)&lt;'Lease Comparison'!C14*12,'Lease Comparison'!C13*(1+'Lease Comparison'!C16)^INT((B20-1)/12),0),0)</f>
        <v>0</v>
      </c>
      <c r="D20" s="24" t="n">
        <f aca="false">IF(B20&lt;='Lease Comparison'!F7,1/(1+'Lease Comparison'!C8)^B20,0)</f>
        <v>0.90828115937738</v>
      </c>
      <c r="E20" s="15" t="n">
        <f aca="false">C20*D20</f>
        <v>0</v>
      </c>
      <c r="G20" s="23" t="n">
        <f aca="false">IF(B20&lt;='Lease Comparison'!F7,IF(MOD(B20-1,'Lease Comparison'!F19)&lt;'Lease Comparison'!F14*12,'Lease Comparison'!F13*(1+'Lease Comparison'!F16)^INT((B20-1)/12),0),0)</f>
        <v>4944</v>
      </c>
      <c r="H20" s="24" t="n">
        <f aca="false">IF(B20&lt;='Lease Comparison'!F7,1/(1+'Lease Comparison'!C8)^B20,0)</f>
        <v>0.90828115937738</v>
      </c>
      <c r="I20" s="15" t="n">
        <f aca="false">G20*H20</f>
        <v>4490.54205196177</v>
      </c>
    </row>
    <row r="21" customFormat="false" ht="15" hidden="false" customHeight="false" outlineLevel="0" collapsed="false">
      <c r="B21" s="22" t="n">
        <v>16</v>
      </c>
      <c r="C21" s="23" t="n">
        <f aca="false">IF(B21&lt;='Lease Comparison'!F7,IF(MOD(B21-1,'Lease Comparison'!C19)&lt;'Lease Comparison'!C14*12,'Lease Comparison'!C13*(1+'Lease Comparison'!C16)^INT((B21-1)/12),0),0)</f>
        <v>4635</v>
      </c>
      <c r="D21" s="24" t="n">
        <f aca="false">IF(B21&lt;='Lease Comparison'!F7,1/(1+'Lease Comparison'!C8)^B21,0)</f>
        <v>0.902474610559527</v>
      </c>
      <c r="E21" s="15" t="n">
        <f aca="false">C21*D21</f>
        <v>4182.96981994341</v>
      </c>
      <c r="G21" s="23" t="n">
        <f aca="false">IF(B21&lt;='Lease Comparison'!F7,IF(MOD(B21-1,'Lease Comparison'!F19)&lt;'Lease Comparison'!F14*12,'Lease Comparison'!F13*(1+'Lease Comparison'!F16)^INT((B21-1)/12),0),0)</f>
        <v>4944</v>
      </c>
      <c r="H21" s="24" t="n">
        <f aca="false">IF(B21&lt;='Lease Comparison'!F7,1/(1+'Lease Comparison'!C8)^B21,0)</f>
        <v>0.902474610559527</v>
      </c>
      <c r="I21" s="15" t="n">
        <f aca="false">G21*H21</f>
        <v>4461.8344746063</v>
      </c>
    </row>
    <row r="22" customFormat="false" ht="15" hidden="false" customHeight="false" outlineLevel="0" collapsed="false">
      <c r="B22" s="22" t="n">
        <v>17</v>
      </c>
      <c r="C22" s="23" t="n">
        <f aca="false">IF(B22&lt;='Lease Comparison'!F7,IF(MOD(B22-1,'Lease Comparison'!C19)&lt;'Lease Comparison'!C14*12,'Lease Comparison'!C13*(1+'Lease Comparison'!C16)^INT((B22-1)/12),0),0)</f>
        <v>4635</v>
      </c>
      <c r="D22" s="24" t="n">
        <f aca="false">IF(B22&lt;='Lease Comparison'!F7,1/(1+'Lease Comparison'!C8)^B22,0)</f>
        <v>0.896705182416066</v>
      </c>
      <c r="E22" s="15" t="n">
        <f aca="false">C22*D22</f>
        <v>4156.22852049847</v>
      </c>
      <c r="G22" s="23" t="n">
        <f aca="false">IF(B22&lt;='Lease Comparison'!F7,IF(MOD(B22-1,'Lease Comparison'!F19)&lt;'Lease Comparison'!F14*12,'Lease Comparison'!F13*(1+'Lease Comparison'!F16)^INT((B22-1)/12),0),0)</f>
        <v>4944</v>
      </c>
      <c r="H22" s="24" t="n">
        <f aca="false">IF(B22&lt;='Lease Comparison'!F7,1/(1+'Lease Comparison'!C8)^B22,0)</f>
        <v>0.896705182416066</v>
      </c>
      <c r="I22" s="15" t="n">
        <f aca="false">G22*H22</f>
        <v>4433.31042186503</v>
      </c>
    </row>
    <row r="23" customFormat="false" ht="15" hidden="false" customHeight="false" outlineLevel="0" collapsed="false">
      <c r="B23" s="22" t="n">
        <v>18</v>
      </c>
      <c r="C23" s="23" t="n">
        <f aca="false">IF(B23&lt;='Lease Comparison'!F7,IF(MOD(B23-1,'Lease Comparison'!C19)&lt;'Lease Comparison'!C14*12,'Lease Comparison'!C13*(1+'Lease Comparison'!C16)^INT((B23-1)/12),0),0)</f>
        <v>4635</v>
      </c>
      <c r="D23" s="24" t="n">
        <f aca="false">IF(B23&lt;='Lease Comparison'!F7,1/(1+'Lease Comparison'!C8)^B23,0)</f>
        <v>0.890972637638312</v>
      </c>
      <c r="E23" s="15" t="n">
        <f aca="false">C23*D23</f>
        <v>4129.65817545358</v>
      </c>
      <c r="G23" s="23" t="n">
        <f aca="false">IF(B23&lt;='Lease Comparison'!F7,IF(MOD(B23-1,'Lease Comparison'!F19)&lt;'Lease Comparison'!F14*12,'Lease Comparison'!F13*(1+'Lease Comparison'!F16)^INT((B23-1)/12),0),0)</f>
        <v>4944</v>
      </c>
      <c r="H23" s="24" t="n">
        <f aca="false">IF(B23&lt;='Lease Comparison'!F7,1/(1+'Lease Comparison'!C8)^B23,0)</f>
        <v>0.890972637638312</v>
      </c>
      <c r="I23" s="15" t="n">
        <f aca="false">G23*H23</f>
        <v>4404.96872048381</v>
      </c>
    </row>
    <row r="24" customFormat="false" ht="15" hidden="false" customHeight="false" outlineLevel="0" collapsed="false">
      <c r="B24" s="22" t="n">
        <v>19</v>
      </c>
      <c r="C24" s="23" t="n">
        <f aca="false">IF(B24&lt;='Lease Comparison'!F7,IF(MOD(B24-1,'Lease Comparison'!C19)&lt;'Lease Comparison'!C14*12,'Lease Comparison'!C13*(1+'Lease Comparison'!C16)^INT((B24-1)/12),0),0)</f>
        <v>4635</v>
      </c>
      <c r="D24" s="24" t="n">
        <f aca="false">IF(B24&lt;='Lease Comparison'!F7,1/(1+'Lease Comparison'!C8)^B24,0)</f>
        <v>0.88527674043467</v>
      </c>
      <c r="E24" s="15" t="n">
        <f aca="false">C24*D24</f>
        <v>4103.25769191469</v>
      </c>
      <c r="G24" s="23" t="n">
        <f aca="false">IF(B24&lt;='Lease Comparison'!F7,IF(MOD(B24-1,'Lease Comparison'!F19)&lt;'Lease Comparison'!F14*12,'Lease Comparison'!F13*(1+'Lease Comparison'!F16)^INT((B24-1)/12),0),0)</f>
        <v>4944</v>
      </c>
      <c r="H24" s="24" t="n">
        <f aca="false">IF(B24&lt;='Lease Comparison'!F7,1/(1+'Lease Comparison'!C8)^B24,0)</f>
        <v>0.88527674043467</v>
      </c>
      <c r="I24" s="15" t="n">
        <f aca="false">G24*H24</f>
        <v>4376.80820470901</v>
      </c>
    </row>
    <row r="25" customFormat="false" ht="15" hidden="false" customHeight="false" outlineLevel="0" collapsed="false">
      <c r="B25" s="22" t="n">
        <v>20</v>
      </c>
      <c r="C25" s="23" t="n">
        <f aca="false">IF(B25&lt;='Lease Comparison'!F7,IF(MOD(B25-1,'Lease Comparison'!C19)&lt;'Lease Comparison'!C14*12,'Lease Comparison'!C13*(1+'Lease Comparison'!C16)^INT((B25-1)/12),0),0)</f>
        <v>4635</v>
      </c>
      <c r="D25" s="24" t="n">
        <f aca="false">IF(B25&lt;='Lease Comparison'!F7,1/(1+'Lease Comparison'!C8)^B25,0)</f>
        <v>0.879617256520935</v>
      </c>
      <c r="E25" s="15" t="n">
        <f aca="false">C25*D25</f>
        <v>4077.02598397453</v>
      </c>
      <c r="G25" s="23" t="n">
        <f aca="false">IF(B25&lt;='Lease Comparison'!F7,IF(MOD(B25-1,'Lease Comparison'!F19)&lt;'Lease Comparison'!F14*12,'Lease Comparison'!F13*(1+'Lease Comparison'!F16)^INT((B25-1)/12),0),0)</f>
        <v>4944</v>
      </c>
      <c r="H25" s="24" t="n">
        <f aca="false">IF(B25&lt;='Lease Comparison'!F7,1/(1+'Lease Comparison'!C8)^B25,0)</f>
        <v>0.879617256520935</v>
      </c>
      <c r="I25" s="15" t="n">
        <f aca="false">G25*H25</f>
        <v>4348.8277162395</v>
      </c>
    </row>
    <row r="26" customFormat="false" ht="15" hidden="false" customHeight="false" outlineLevel="0" collapsed="false">
      <c r="B26" s="22" t="n">
        <v>21</v>
      </c>
      <c r="C26" s="23" t="n">
        <f aca="false">IF(B26&lt;='Lease Comparison'!F7,IF(MOD(B26-1,'Lease Comparison'!C19)&lt;'Lease Comparison'!C14*12,'Lease Comparison'!C13*(1+'Lease Comparison'!C16)^INT((B26-1)/12),0),0)</f>
        <v>4635</v>
      </c>
      <c r="D26" s="24" t="n">
        <f aca="false">IF(B26&lt;='Lease Comparison'!F7,1/(1+'Lease Comparison'!C8)^B26,0)</f>
        <v>0.87399395311066</v>
      </c>
      <c r="E26" s="15" t="n">
        <f aca="false">C26*D26</f>
        <v>4050.96197266791</v>
      </c>
      <c r="G26" s="23" t="n">
        <f aca="false">IF(B26&lt;='Lease Comparison'!F7,IF(MOD(B26-1,'Lease Comparison'!F19)&lt;'Lease Comparison'!F14*12,'Lease Comparison'!F13*(1+'Lease Comparison'!F16)^INT((B26-1)/12),0),0)</f>
        <v>4944</v>
      </c>
      <c r="H26" s="24" t="n">
        <f aca="false">IF(B26&lt;='Lease Comparison'!F7,1/(1+'Lease Comparison'!C8)^B26,0)</f>
        <v>0.87399395311066</v>
      </c>
      <c r="I26" s="15" t="n">
        <f aca="false">G26*H26</f>
        <v>4321.0261041791</v>
      </c>
    </row>
    <row r="27" customFormat="false" ht="15" hidden="false" customHeight="false" outlineLevel="0" collapsed="false">
      <c r="B27" s="22" t="n">
        <v>22</v>
      </c>
      <c r="C27" s="23" t="n">
        <f aca="false">IF(B27&lt;='Lease Comparison'!F7,IF(MOD(B27-1,'Lease Comparison'!C19)&lt;'Lease Comparison'!C14*12,'Lease Comparison'!C13*(1+'Lease Comparison'!C16)^INT((B27-1)/12),0),0)</f>
        <v>4635</v>
      </c>
      <c r="D27" s="24" t="n">
        <f aca="false">IF(B27&lt;='Lease Comparison'!F7,1/(1+'Lease Comparison'!C8)^B27,0)</f>
        <v>0.868406598905576</v>
      </c>
      <c r="E27" s="15" t="n">
        <f aca="false">C27*D27</f>
        <v>4025.06458592735</v>
      </c>
      <c r="G27" s="23" t="n">
        <f aca="false">IF(B27&lt;='Lease Comparison'!F7,IF(MOD(B27-1,'Lease Comparison'!F19)&lt;'Lease Comparison'!F14*12,'Lease Comparison'!F13*(1+'Lease Comparison'!F16)^INT((B27-1)/12),0),0)</f>
        <v>4944</v>
      </c>
      <c r="H27" s="24" t="n">
        <f aca="false">IF(B27&lt;='Lease Comparison'!F7,1/(1+'Lease Comparison'!C8)^B27,0)</f>
        <v>0.868406598905576</v>
      </c>
      <c r="I27" s="15" t="n">
        <f aca="false">G27*H27</f>
        <v>4293.40222498917</v>
      </c>
    </row>
    <row r="28" customFormat="false" ht="15" hidden="false" customHeight="false" outlineLevel="0" collapsed="false">
      <c r="B28" s="22" t="n">
        <v>23</v>
      </c>
      <c r="C28" s="23" t="n">
        <f aca="false">IF(B28&lt;='Lease Comparison'!F7,IF(MOD(B28-1,'Lease Comparison'!C19)&lt;'Lease Comparison'!C14*12,'Lease Comparison'!C13*(1+'Lease Comparison'!C16)^INT((B28-1)/12),0),0)</f>
        <v>4635</v>
      </c>
      <c r="D28" s="24" t="n">
        <f aca="false">IF(B28&lt;='Lease Comparison'!F7,1/(1+'Lease Comparison'!C8)^B28,0)</f>
        <v>0.86285496408608</v>
      </c>
      <c r="E28" s="15" t="n">
        <f aca="false">C28*D28</f>
        <v>3999.33275853898</v>
      </c>
      <c r="G28" s="23" t="n">
        <f aca="false">IF(B28&lt;='Lease Comparison'!F7,IF(MOD(B28-1,'Lease Comparison'!F19)&lt;'Lease Comparison'!F14*12,'Lease Comparison'!F13*(1+'Lease Comparison'!F16)^INT((B28-1)/12),0),0)</f>
        <v>4944</v>
      </c>
      <c r="H28" s="24" t="n">
        <f aca="false">IF(B28&lt;='Lease Comparison'!F7,1/(1+'Lease Comparison'!C8)^B28,0)</f>
        <v>0.86285496408608</v>
      </c>
      <c r="I28" s="15" t="n">
        <f aca="false">G28*H28</f>
        <v>4265.95494244158</v>
      </c>
    </row>
    <row r="29" customFormat="false" ht="15" hidden="false" customHeight="false" outlineLevel="0" collapsed="false">
      <c r="B29" s="22" t="n">
        <v>24</v>
      </c>
      <c r="C29" s="23" t="n">
        <f aca="false">IF(B29&lt;='Lease Comparison'!F7,IF(MOD(B29-1,'Lease Comparison'!C19)&lt;'Lease Comparison'!C14*12,'Lease Comparison'!C13*(1+'Lease Comparison'!C16)^INT((B29-1)/12),0),0)</f>
        <v>4635</v>
      </c>
      <c r="D29" s="24" t="n">
        <f aca="false">IF(B29&lt;='Lease Comparison'!F7,1/(1+'Lease Comparison'!C8)^B29,0)</f>
        <v>0.857338820301784</v>
      </c>
      <c r="E29" s="15" t="n">
        <f aca="false">C29*D29</f>
        <v>3973.76543209877</v>
      </c>
      <c r="G29" s="23" t="n">
        <f aca="false">IF(B29&lt;='Lease Comparison'!F7,IF(MOD(B29-1,'Lease Comparison'!F19)&lt;'Lease Comparison'!F14*12,'Lease Comparison'!F13*(1+'Lease Comparison'!F16)^INT((B29-1)/12),0),0)</f>
        <v>4944</v>
      </c>
      <c r="H29" s="24" t="n">
        <f aca="false">IF(B29&lt;='Lease Comparison'!F7,1/(1+'Lease Comparison'!C8)^B29,0)</f>
        <v>0.857338820301784</v>
      </c>
      <c r="I29" s="15" t="n">
        <f aca="false">G29*H29</f>
        <v>4238.68312757202</v>
      </c>
    </row>
    <row r="30" customFormat="false" ht="15" hidden="false" customHeight="false" outlineLevel="0" collapsed="false">
      <c r="B30" s="22" t="n">
        <v>25</v>
      </c>
      <c r="C30" s="23" t="n">
        <f aca="false">IF(B30&lt;='Lease Comparison'!F7,IF(MOD(B30-1,'Lease Comparison'!C19)&lt;'Lease Comparison'!C14*12,'Lease Comparison'!C13*(1+'Lease Comparison'!C16)^INT((B30-1)/12),0),0)</f>
        <v>4774.05</v>
      </c>
      <c r="D30" s="24" t="n">
        <f aca="false">IF(B30&lt;='Lease Comparison'!F7,1/(1+'Lease Comparison'!C8)^B30,0)</f>
        <v>0.851857940662118</v>
      </c>
      <c r="E30" s="15" t="n">
        <f aca="false">C30*D30</f>
        <v>4066.81240161799</v>
      </c>
      <c r="G30" s="23" t="n">
        <f aca="false">IF(B30&lt;='Lease Comparison'!F7,IF(MOD(B30-1,'Lease Comparison'!F19)&lt;'Lease Comparison'!F14*12,'Lease Comparison'!F13*(1+'Lease Comparison'!F16)^INT((B30-1)/12),0),0)</f>
        <v>5092.32</v>
      </c>
      <c r="H30" s="24" t="n">
        <f aca="false">IF(B30&lt;='Lease Comparison'!F7,1/(1+'Lease Comparison'!C8)^B30,0)</f>
        <v>0.851857940662118</v>
      </c>
      <c r="I30" s="15" t="n">
        <f aca="false">G30*H30</f>
        <v>4337.93322839252</v>
      </c>
    </row>
    <row r="31" customFormat="false" ht="15" hidden="false" customHeight="false" outlineLevel="0" collapsed="false">
      <c r="B31" s="22" t="n">
        <v>26</v>
      </c>
      <c r="C31" s="23" t="n">
        <f aca="false">IF(B31&lt;='Lease Comparison'!F7,IF(MOD(B31-1,'Lease Comparison'!C19)&lt;'Lease Comparison'!C14*12,'Lease Comparison'!C13*(1+'Lease Comparison'!C16)^INT((B31-1)/12),0),0)</f>
        <v>4774.05</v>
      </c>
      <c r="D31" s="24" t="n">
        <f aca="false">IF(B31&lt;='Lease Comparison'!F7,1/(1+'Lease Comparison'!C8)^B31,0)</f>
        <v>0.846412099727003</v>
      </c>
      <c r="E31" s="15" t="n">
        <f aca="false">C31*D31</f>
        <v>4040.8136847017</v>
      </c>
      <c r="G31" s="23" t="n">
        <f aca="false">IF(B31&lt;='Lease Comparison'!F7,IF(MOD(B31-1,'Lease Comparison'!F19)&lt;'Lease Comparison'!F14*12,'Lease Comparison'!F13*(1+'Lease Comparison'!F16)^INT((B31-1)/12),0),0)</f>
        <v>5092.32</v>
      </c>
      <c r="H31" s="24" t="n">
        <f aca="false">IF(B31&lt;='Lease Comparison'!F7,1/(1+'Lease Comparison'!C8)^B31,0)</f>
        <v>0.846412099727003</v>
      </c>
      <c r="I31" s="15" t="n">
        <f aca="false">G31*H31</f>
        <v>4310.20126368181</v>
      </c>
    </row>
    <row r="32" customFormat="false" ht="15" hidden="false" customHeight="false" outlineLevel="0" collapsed="false">
      <c r="B32" s="22" t="n">
        <v>27</v>
      </c>
      <c r="C32" s="23" t="n">
        <f aca="false">IF(B32&lt;='Lease Comparison'!F7,IF(MOD(B32-1,'Lease Comparison'!C19)&lt;'Lease Comparison'!C14*12,'Lease Comparison'!C13*(1+'Lease Comparison'!C16)^INT((B32-1)/12),0),0)</f>
        <v>4774.05</v>
      </c>
      <c r="D32" s="24" t="n">
        <f aca="false">IF(B32&lt;='Lease Comparison'!F7,1/(1+'Lease Comparison'!C8)^B32,0)</f>
        <v>0.841001073497575</v>
      </c>
      <c r="E32" s="15" t="n">
        <f aca="false">C32*D32</f>
        <v>4014.9811749311</v>
      </c>
      <c r="G32" s="23" t="n">
        <f aca="false">IF(B32&lt;='Lease Comparison'!F7,IF(MOD(B32-1,'Lease Comparison'!F19)&lt;'Lease Comparison'!F14*12,'Lease Comparison'!F13*(1+'Lease Comparison'!F16)^INT((B32-1)/12),0),0)</f>
        <v>5092.32</v>
      </c>
      <c r="H32" s="24" t="n">
        <f aca="false">IF(B32&lt;='Lease Comparison'!F7,1/(1+'Lease Comparison'!C8)^B32,0)</f>
        <v>0.841001073497575</v>
      </c>
      <c r="I32" s="15" t="n">
        <f aca="false">G32*H32</f>
        <v>4282.64658659317</v>
      </c>
    </row>
    <row r="33" customFormat="false" ht="15" hidden="false" customHeight="false" outlineLevel="0" collapsed="false">
      <c r="B33" s="22" t="n">
        <v>28</v>
      </c>
      <c r="C33" s="23" t="n">
        <f aca="false">IF(B33&lt;='Lease Comparison'!F7,IF(MOD(B33-1,'Lease Comparison'!C19)&lt;'Lease Comparison'!C14*12,'Lease Comparison'!C13*(1+'Lease Comparison'!C16)^INT((B33-1)/12),0),0)</f>
        <v>0</v>
      </c>
      <c r="D33" s="24" t="n">
        <f aca="false">IF(B33&lt;='Lease Comparison'!F7,1/(1+'Lease Comparison'!C8)^B33,0)</f>
        <v>0.83562463940697</v>
      </c>
      <c r="E33" s="15" t="n">
        <f aca="false">C33*D33</f>
        <v>0</v>
      </c>
      <c r="G33" s="23" t="n">
        <f aca="false">IF(B33&lt;='Lease Comparison'!F7,IF(MOD(B33-1,'Lease Comparison'!F19)&lt;'Lease Comparison'!F14*12,'Lease Comparison'!F13*(1+'Lease Comparison'!F16)^INT((B33-1)/12),0),0)</f>
        <v>5092.32</v>
      </c>
      <c r="H33" s="24" t="n">
        <f aca="false">IF(B33&lt;='Lease Comparison'!F7,1/(1+'Lease Comparison'!C8)^B33,0)</f>
        <v>0.83562463940697</v>
      </c>
      <c r="I33" s="15" t="n">
        <f aca="false">G33*H33</f>
        <v>4255.2680637449</v>
      </c>
    </row>
    <row r="34" customFormat="false" ht="15" hidden="false" customHeight="false" outlineLevel="0" collapsed="false">
      <c r="B34" s="22" t="n">
        <v>29</v>
      </c>
      <c r="C34" s="23" t="n">
        <f aca="false">IF(B34&lt;='Lease Comparison'!F7,IF(MOD(B34-1,'Lease Comparison'!C19)&lt;'Lease Comparison'!C14*12,'Lease Comparison'!C13*(1+'Lease Comparison'!C16)^INT((B34-1)/12),0),0)</f>
        <v>0</v>
      </c>
      <c r="D34" s="24" t="n">
        <f aca="false">IF(B34&lt;='Lease Comparison'!F7,1/(1+'Lease Comparison'!C8)^B34,0)</f>
        <v>0.830282576311172</v>
      </c>
      <c r="E34" s="15" t="n">
        <f aca="false">C34*D34</f>
        <v>0</v>
      </c>
      <c r="G34" s="23" t="n">
        <f aca="false">IF(B34&lt;='Lease Comparison'!F7,IF(MOD(B34-1,'Lease Comparison'!F19)&lt;'Lease Comparison'!F14*12,'Lease Comparison'!F13*(1+'Lease Comparison'!F16)^INT((B34-1)/12),0),0)</f>
        <v>5092.32</v>
      </c>
      <c r="H34" s="24" t="n">
        <f aca="false">IF(B34&lt;='Lease Comparison'!F7,1/(1+'Lease Comparison'!C8)^B34,0)</f>
        <v>0.830282576311172</v>
      </c>
      <c r="I34" s="15" t="n">
        <f aca="false">G34*H34</f>
        <v>4228.06456900091</v>
      </c>
    </row>
    <row r="35" customFormat="false" ht="15" hidden="false" customHeight="false" outlineLevel="0" collapsed="false">
      <c r="B35" s="22" t="n">
        <v>30</v>
      </c>
      <c r="C35" s="23" t="n">
        <f aca="false">IF(B35&lt;='Lease Comparison'!F7,IF(MOD(B35-1,'Lease Comparison'!C19)&lt;'Lease Comparison'!C14*12,'Lease Comparison'!C13*(1+'Lease Comparison'!C16)^INT((B35-1)/12),0),0)</f>
        <v>0</v>
      </c>
      <c r="D35" s="24" t="n">
        <f aca="false">IF(B35&lt;='Lease Comparison'!F7,1/(1+'Lease Comparison'!C8)^B35,0)</f>
        <v>0.824974664479919</v>
      </c>
      <c r="E35" s="15" t="n">
        <f aca="false">C35*D35</f>
        <v>0</v>
      </c>
      <c r="G35" s="23" t="n">
        <f aca="false">IF(B35&lt;='Lease Comparison'!F7,IF(MOD(B35-1,'Lease Comparison'!F19)&lt;'Lease Comparison'!F14*12,'Lease Comparison'!F13*(1+'Lease Comparison'!F16)^INT((B35-1)/12),0),0)</f>
        <v>5092.32</v>
      </c>
      <c r="H35" s="24" t="n">
        <f aca="false">IF(B35&lt;='Lease Comparison'!F7,1/(1+'Lease Comparison'!C8)^B35,0)</f>
        <v>0.824974664479919</v>
      </c>
      <c r="I35" s="15" t="n">
        <f aca="false">G35*H35</f>
        <v>4201.03498342438</v>
      </c>
    </row>
    <row r="36" customFormat="false" ht="15" hidden="false" customHeight="false" outlineLevel="0" collapsed="false">
      <c r="B36" s="22" t="n">
        <v>31</v>
      </c>
      <c r="C36" s="23" t="n">
        <f aca="false">IF(B36&lt;='Lease Comparison'!F7,IF(MOD(B36-1,'Lease Comparison'!C19)&lt;'Lease Comparison'!C14*12,'Lease Comparison'!C13*(1+'Lease Comparison'!C16)^INT((B36-1)/12),0),0)</f>
        <v>4774.05</v>
      </c>
      <c r="D36" s="24" t="n">
        <f aca="false">IF(B36&lt;='Lease Comparison'!F7,1/(1+'Lease Comparison'!C8)^B36,0)</f>
        <v>0.819700685587657</v>
      </c>
      <c r="E36" s="15" t="n">
        <f aca="false">C36*D36</f>
        <v>3913.29205802976</v>
      </c>
      <c r="G36" s="23" t="n">
        <f aca="false">IF(B36&lt;='Lease Comparison'!F7,IF(MOD(B36-1,'Lease Comparison'!F19)&lt;'Lease Comparison'!F14*12,'Lease Comparison'!F13*(1+'Lease Comparison'!F16)^INT((B36-1)/12),0),0)</f>
        <v>5092.32</v>
      </c>
      <c r="H36" s="24" t="n">
        <f aca="false">IF(B36&lt;='Lease Comparison'!F7,1/(1+'Lease Comparison'!C8)^B36,0)</f>
        <v>0.819700685587657</v>
      </c>
      <c r="I36" s="15" t="n">
        <f aca="false">G36*H36</f>
        <v>4174.17819523174</v>
      </c>
    </row>
    <row r="37" customFormat="false" ht="15" hidden="false" customHeight="false" outlineLevel="0" collapsed="false">
      <c r="B37" s="22" t="n">
        <v>32</v>
      </c>
      <c r="C37" s="23" t="n">
        <f aca="false">IF(B37&lt;='Lease Comparison'!F7,IF(MOD(B37-1,'Lease Comparison'!C19)&lt;'Lease Comparison'!C14*12,'Lease Comparison'!C13*(1+'Lease Comparison'!C16)^INT((B37-1)/12),0),0)</f>
        <v>4774.05</v>
      </c>
      <c r="D37" s="24" t="n">
        <f aca="false">IF(B37&lt;='Lease Comparison'!F7,1/(1+'Lease Comparison'!C8)^B37,0)</f>
        <v>0.81446042270457</v>
      </c>
      <c r="E37" s="15" t="n">
        <f aca="false">C37*D37</f>
        <v>3888.27478101275</v>
      </c>
      <c r="G37" s="23" t="n">
        <f aca="false">IF(B37&lt;='Lease Comparison'!F7,IF(MOD(B37-1,'Lease Comparison'!F19)&lt;'Lease Comparison'!F14*12,'Lease Comparison'!F13*(1+'Lease Comparison'!F16)^INT((B37-1)/12),0),0)</f>
        <v>5092.32</v>
      </c>
      <c r="H37" s="24" t="n">
        <f aca="false">IF(B37&lt;='Lease Comparison'!F7,1/(1+'Lease Comparison'!C8)^B37,0)</f>
        <v>0.81446042270457</v>
      </c>
      <c r="I37" s="15" t="n">
        <f aca="false">G37*H37</f>
        <v>4147.49309974694</v>
      </c>
    </row>
    <row r="38" customFormat="false" ht="15" hidden="false" customHeight="false" outlineLevel="0" collapsed="false">
      <c r="B38" s="22" t="n">
        <v>33</v>
      </c>
      <c r="C38" s="23" t="n">
        <f aca="false">IF(B38&lt;='Lease Comparison'!F7,IF(MOD(B38-1,'Lease Comparison'!C19)&lt;'Lease Comparison'!C14*12,'Lease Comparison'!C13*(1+'Lease Comparison'!C16)^INT((B38-1)/12),0),0)</f>
        <v>4774.05</v>
      </c>
      <c r="D38" s="24" t="n">
        <f aca="false">IF(B38&lt;='Lease Comparison'!F7,1/(1+'Lease Comparison'!C8)^B38,0)</f>
        <v>0.809253660287649</v>
      </c>
      <c r="E38" s="15" t="n">
        <f aca="false">C38*D38</f>
        <v>3863.41743689625</v>
      </c>
      <c r="G38" s="23" t="n">
        <f aca="false">IF(B38&lt;='Lease Comparison'!F7,IF(MOD(B38-1,'Lease Comparison'!F19)&lt;'Lease Comparison'!F14*12,'Lease Comparison'!F13*(1+'Lease Comparison'!F16)^INT((B38-1)/12),0),0)</f>
        <v>5092.32</v>
      </c>
      <c r="H38" s="24" t="n">
        <f aca="false">IF(B38&lt;='Lease Comparison'!F7,1/(1+'Lease Comparison'!C8)^B38,0)</f>
        <v>0.809253660287649</v>
      </c>
      <c r="I38" s="15" t="n">
        <f aca="false">G38*H38</f>
        <v>4120.978599356</v>
      </c>
    </row>
    <row r="39" customFormat="false" ht="15" hidden="false" customHeight="false" outlineLevel="0" collapsed="false">
      <c r="B39" s="22" t="n">
        <v>34</v>
      </c>
      <c r="C39" s="23" t="n">
        <f aca="false">IF(B39&lt;='Lease Comparison'!F7,IF(MOD(B39-1,'Lease Comparison'!C19)&lt;'Lease Comparison'!C14*12,'Lease Comparison'!C13*(1+'Lease Comparison'!C16)^INT((B39-1)/12),0),0)</f>
        <v>4774.05</v>
      </c>
      <c r="D39" s="24" t="n">
        <f aca="false">IF(B39&lt;='Lease Comparison'!F7,1/(1+'Lease Comparison'!C8)^B39,0)</f>
        <v>0.80408018417183</v>
      </c>
      <c r="E39" s="15" t="n">
        <f aca="false">C39*D39</f>
        <v>3838.71900324552</v>
      </c>
      <c r="G39" s="23" t="n">
        <f aca="false">IF(B39&lt;='Lease Comparison'!F7,IF(MOD(B39-1,'Lease Comparison'!F19)&lt;'Lease Comparison'!F14*12,'Lease Comparison'!F13*(1+'Lease Comparison'!F16)^INT((B39-1)/12),0),0)</f>
        <v>5092.32</v>
      </c>
      <c r="H39" s="24" t="n">
        <f aca="false">IF(B39&lt;='Lease Comparison'!F7,1/(1+'Lease Comparison'!C8)^B39,0)</f>
        <v>0.80408018417183</v>
      </c>
      <c r="I39" s="15" t="n">
        <f aca="false">G39*H39</f>
        <v>4094.63360346189</v>
      </c>
    </row>
    <row r="40" customFormat="false" ht="15" hidden="false" customHeight="false" outlineLevel="0" collapsed="false">
      <c r="B40" s="22" t="n">
        <v>35</v>
      </c>
      <c r="C40" s="23" t="n">
        <f aca="false">IF(B40&lt;='Lease Comparison'!F7,IF(MOD(B40-1,'Lease Comparison'!C19)&lt;'Lease Comparison'!C14*12,'Lease Comparison'!C13*(1+'Lease Comparison'!C16)^INT((B40-1)/12),0),0)</f>
        <v>4774.05</v>
      </c>
      <c r="D40" s="24" t="n">
        <f aca="false">IF(B40&lt;='Lease Comparison'!F7,1/(1+'Lease Comparison'!C8)^B40,0)</f>
        <v>0.798939781561186</v>
      </c>
      <c r="E40" s="15" t="n">
        <f aca="false">C40*D40</f>
        <v>3814.17846416218</v>
      </c>
      <c r="G40" s="23" t="n">
        <f aca="false">IF(B40&lt;='Lease Comparison'!F7,IF(MOD(B40-1,'Lease Comparison'!F19)&lt;'Lease Comparison'!F14*12,'Lease Comparison'!F13*(1+'Lease Comparison'!F16)^INT((B40-1)/12),0),0)</f>
        <v>5092.32</v>
      </c>
      <c r="H40" s="24" t="n">
        <f aca="false">IF(B40&lt;='Lease Comparison'!F7,1/(1+'Lease Comparison'!C8)^B40,0)</f>
        <v>0.798939781561186</v>
      </c>
      <c r="I40" s="15" t="n">
        <f aca="false">G40*H40</f>
        <v>4068.45702843966</v>
      </c>
    </row>
    <row r="41" customFormat="false" ht="15" hidden="false" customHeight="false" outlineLevel="0" collapsed="false">
      <c r="B41" s="22" t="n">
        <v>36</v>
      </c>
      <c r="C41" s="23" t="n">
        <f aca="false">IF(B41&lt;='Lease Comparison'!F7,IF(MOD(B41-1,'Lease Comparison'!C19)&lt;'Lease Comparison'!C14*12,'Lease Comparison'!C13*(1+'Lease Comparison'!C16)^INT((B41-1)/12),0),0)</f>
        <v>4774.05</v>
      </c>
      <c r="D41" s="24" t="n">
        <f aca="false">IF(B41&lt;='Lease Comparison'!F7,1/(1+'Lease Comparison'!C8)^B41,0)</f>
        <v>0.793832241020171</v>
      </c>
      <c r="E41" s="15" t="n">
        <f aca="false">C41*D41</f>
        <v>3789.79481024235</v>
      </c>
      <c r="G41" s="23" t="n">
        <f aca="false">IF(B41&lt;='Lease Comparison'!F7,IF(MOD(B41-1,'Lease Comparison'!F19)&lt;'Lease Comparison'!F14*12,'Lease Comparison'!F13*(1+'Lease Comparison'!F16)^INT((B41-1)/12),0),0)</f>
        <v>5092.32</v>
      </c>
      <c r="H41" s="24" t="n">
        <f aca="false">IF(B41&lt;='Lease Comparison'!F7,1/(1+'Lease Comparison'!C8)^B41,0)</f>
        <v>0.793832241020171</v>
      </c>
      <c r="I41" s="15" t="n">
        <f aca="false">G41*H41</f>
        <v>4042.44779759183</v>
      </c>
    </row>
    <row r="42" customFormat="false" ht="15" hidden="false" customHeight="false" outlineLevel="0" collapsed="false">
      <c r="B42" s="22" t="n">
        <v>37</v>
      </c>
      <c r="C42" s="23" t="n">
        <f aca="false">IF(B42&lt;='Lease Comparison'!F7,IF(MOD(B42-1,'Lease Comparison'!C19)&lt;'Lease Comparison'!C14*12,'Lease Comparison'!C13*(1+'Lease Comparison'!C16)^INT((B42-1)/12),0),0)</f>
        <v>4917.2715</v>
      </c>
      <c r="D42" s="24" t="n">
        <f aca="false">IF(B42&lt;='Lease Comparison'!F7,1/(1+'Lease Comparison'!C8)^B42,0)</f>
        <v>0.788757352464925</v>
      </c>
      <c r="E42" s="15" t="n">
        <f aca="false">C42*D42</f>
        <v>3878.53404969123</v>
      </c>
      <c r="G42" s="23" t="n">
        <f aca="false">IF(B42&lt;='Lease Comparison'!F7,IF(MOD(B42-1,'Lease Comparison'!F19)&lt;'Lease Comparison'!F14*12,'Lease Comparison'!F13*(1+'Lease Comparison'!F16)^INT((B42-1)/12),0),0)</f>
        <v>5245.0896</v>
      </c>
      <c r="H42" s="24" t="n">
        <f aca="false">IF(B42&lt;='Lease Comparison'!F7,1/(1+'Lease Comparison'!C8)^B42,0)</f>
        <v>0.788757352464925</v>
      </c>
      <c r="I42" s="15" t="n">
        <f aca="false">G42*H42</f>
        <v>4137.10298633731</v>
      </c>
    </row>
    <row r="43" customFormat="false" ht="15" hidden="false" customHeight="false" outlineLevel="0" collapsed="false">
      <c r="B43" s="22" t="n">
        <v>38</v>
      </c>
      <c r="C43" s="23" t="n">
        <f aca="false">IF(B43&lt;='Lease Comparison'!F7,IF(MOD(B43-1,'Lease Comparison'!C19)&lt;'Lease Comparison'!C14*12,'Lease Comparison'!C13*(1+'Lease Comparison'!C16)^INT((B43-1)/12),0),0)</f>
        <v>4917.2715</v>
      </c>
      <c r="D43" s="24" t="n">
        <f aca="false">IF(B43&lt;='Lease Comparison'!F7,1/(1+'Lease Comparison'!C8)^B43,0)</f>
        <v>0.783714907154633</v>
      </c>
      <c r="E43" s="15" t="n">
        <f aca="false">C43*D43</f>
        <v>3853.73897707662</v>
      </c>
      <c r="G43" s="23" t="n">
        <f aca="false">IF(B43&lt;='Lease Comparison'!F7,IF(MOD(B43-1,'Lease Comparison'!F19)&lt;'Lease Comparison'!F14*12,'Lease Comparison'!F13*(1+'Lease Comparison'!F16)^INT((B43-1)/12),0),0)</f>
        <v>5245.0896</v>
      </c>
      <c r="H43" s="24" t="n">
        <f aca="false">IF(B43&lt;='Lease Comparison'!F7,1/(1+'Lease Comparison'!C8)^B43,0)</f>
        <v>0.783714907154633</v>
      </c>
      <c r="I43" s="15" t="n">
        <f aca="false">G43*H43</f>
        <v>4110.65490888173</v>
      </c>
    </row>
    <row r="44" customFormat="false" ht="15" hidden="false" customHeight="false" outlineLevel="0" collapsed="false">
      <c r="B44" s="22" t="n">
        <v>39</v>
      </c>
      <c r="C44" s="23" t="n">
        <f aca="false">IF(B44&lt;='Lease Comparison'!F7,IF(MOD(B44-1,'Lease Comparison'!C19)&lt;'Lease Comparison'!C14*12,'Lease Comparison'!C13*(1+'Lease Comparison'!C16)^INT((B44-1)/12),0),0)</f>
        <v>4917.2715</v>
      </c>
      <c r="D44" s="24" t="n">
        <f aca="false">IF(B44&lt;='Lease Comparison'!F7,1/(1+'Lease Comparison'!C8)^B44,0)</f>
        <v>0.77870469768294</v>
      </c>
      <c r="E44" s="15" t="n">
        <f aca="false">C44*D44</f>
        <v>3829.10241683244</v>
      </c>
      <c r="G44" s="23" t="n">
        <f aca="false">IF(B44&lt;='Lease Comparison'!F7,IF(MOD(B44-1,'Lease Comparison'!F19)&lt;'Lease Comparison'!F14*12,'Lease Comparison'!F13*(1+'Lease Comparison'!F16)^INT((B44-1)/12),0),0)</f>
        <v>5245.0896</v>
      </c>
      <c r="H44" s="24" t="n">
        <f aca="false">IF(B44&lt;='Lease Comparison'!F7,1/(1+'Lease Comparison'!C8)^B44,0)</f>
        <v>0.77870469768294</v>
      </c>
      <c r="I44" s="15" t="n">
        <f aca="false">G44*H44</f>
        <v>4084.37591128793</v>
      </c>
    </row>
    <row r="45" customFormat="false" ht="15" hidden="false" customHeight="false" outlineLevel="0" collapsed="false">
      <c r="B45" s="22" t="n">
        <v>40</v>
      </c>
      <c r="C45" s="23" t="n">
        <f aca="false">IF(B45&lt;='Lease Comparison'!F7,IF(MOD(B45-1,'Lease Comparison'!C19)&lt;'Lease Comparison'!C14*12,'Lease Comparison'!C13*(1+'Lease Comparison'!C16)^INT((B45-1)/12),0),0)</f>
        <v>4917.2715</v>
      </c>
      <c r="D45" s="24" t="n">
        <f aca="false">IF(B45&lt;='Lease Comparison'!F7,1/(1+'Lease Comparison'!C8)^B45,0)</f>
        <v>0.773726517969417</v>
      </c>
      <c r="E45" s="15" t="n">
        <f aca="false">C45*D45</f>
        <v>3804.62335560525</v>
      </c>
      <c r="G45" s="23" t="n">
        <f aca="false">IF(B45&lt;='Lease Comparison'!F7,IF(MOD(B45-1,'Lease Comparison'!F19)&lt;'Lease Comparison'!F14*12,'Lease Comparison'!F13*(1+'Lease Comparison'!F16)^INT((B45-1)/12),0),0)</f>
        <v>5245.0896</v>
      </c>
      <c r="H45" s="24" t="n">
        <f aca="false">IF(B45&lt;='Lease Comparison'!F7,1/(1+'Lease Comparison'!C8)^B45,0)</f>
        <v>0.773726517969417</v>
      </c>
      <c r="I45" s="15" t="n">
        <f aca="false">G45*H45</f>
        <v>4058.2649126456</v>
      </c>
    </row>
    <row r="46" customFormat="false" ht="15" hidden="false" customHeight="false" outlineLevel="0" collapsed="false">
      <c r="B46" s="22" t="n">
        <v>41</v>
      </c>
      <c r="C46" s="23" t="n">
        <f aca="false">IF(B46&lt;='Lease Comparison'!F7,IF(MOD(B46-1,'Lease Comparison'!C19)&lt;'Lease Comparison'!C14*12,'Lease Comparison'!C13*(1+'Lease Comparison'!C16)^INT((B46-1)/12),0),0)</f>
        <v>4917.2715</v>
      </c>
      <c r="D46" s="24" t="n">
        <f aca="false">IF(B46&lt;='Lease Comparison'!F7,1/(1+'Lease Comparison'!C8)^B46,0)</f>
        <v>0.768780163251086</v>
      </c>
      <c r="E46" s="15" t="n">
        <f aca="false">C46*D46</f>
        <v>3780.30078651991</v>
      </c>
      <c r="G46" s="23" t="n">
        <f aca="false">IF(B46&lt;='Lease Comparison'!F7,IF(MOD(B46-1,'Lease Comparison'!F19)&lt;'Lease Comparison'!F14*12,'Lease Comparison'!F13*(1+'Lease Comparison'!F16)^INT((B46-1)/12),0),0)</f>
        <v>5245.0896</v>
      </c>
      <c r="H46" s="24" t="n">
        <f aca="false">IF(B46&lt;='Lease Comparison'!F7,1/(1+'Lease Comparison'!C8)^B46,0)</f>
        <v>0.768780163251086</v>
      </c>
      <c r="I46" s="15" t="n">
        <f aca="false">G46*H46</f>
        <v>4032.32083895457</v>
      </c>
    </row>
    <row r="47" customFormat="false" ht="15" hidden="false" customHeight="false" outlineLevel="0" collapsed="false">
      <c r="B47" s="22" t="n">
        <v>42</v>
      </c>
      <c r="C47" s="23" t="n">
        <f aca="false">IF(B47&lt;='Lease Comparison'!F7,IF(MOD(B47-1,'Lease Comparison'!C19)&lt;'Lease Comparison'!C14*12,'Lease Comparison'!C13*(1+'Lease Comparison'!C16)^INT((B47-1)/12),0),0)</f>
        <v>4917.2715</v>
      </c>
      <c r="D47" s="24" t="n">
        <f aca="false">IF(B47&lt;='Lease Comparison'!F7,1/(1+'Lease Comparison'!C8)^B47,0)</f>
        <v>0.763865430073999</v>
      </c>
      <c r="E47" s="15" t="n">
        <f aca="false">C47*D47</f>
        <v>3756.13370913812</v>
      </c>
      <c r="G47" s="23" t="n">
        <f aca="false">IF(B47&lt;='Lease Comparison'!F7,IF(MOD(B47-1,'Lease Comparison'!F19)&lt;'Lease Comparison'!F14*12,'Lease Comparison'!F13*(1+'Lease Comparison'!F16)^INT((B47-1)/12),0),0)</f>
        <v>5245.0896</v>
      </c>
      <c r="H47" s="24" t="n">
        <f aca="false">IF(B47&lt;='Lease Comparison'!F7,1/(1+'Lease Comparison'!C8)^B47,0)</f>
        <v>0.763865430073999</v>
      </c>
      <c r="I47" s="15" t="n">
        <f aca="false">G47*H47</f>
        <v>4006.54262308066</v>
      </c>
    </row>
    <row r="48" customFormat="false" ht="15" hidden="false" customHeight="false" outlineLevel="0" collapsed="false">
      <c r="B48" s="22" t="n">
        <v>43</v>
      </c>
      <c r="C48" s="23" t="n">
        <f aca="false">IF(B48&lt;='Lease Comparison'!F7,IF(MOD(B48-1,'Lease Comparison'!C19)&lt;'Lease Comparison'!C14*12,'Lease Comparison'!C13*(1+'Lease Comparison'!C16)^INT((B48-1)/12),0),0)</f>
        <v>0</v>
      </c>
      <c r="D48" s="24" t="n">
        <f aca="false">IF(B48&lt;='Lease Comparison'!F7,1/(1+'Lease Comparison'!C8)^B48,0)</f>
        <v>0.758982116284868</v>
      </c>
      <c r="E48" s="15" t="n">
        <f aca="false">C48*D48</f>
        <v>0</v>
      </c>
      <c r="G48" s="23" t="n">
        <f aca="false">IF(B48&lt;='Lease Comparison'!F7,IF(MOD(B48-1,'Lease Comparison'!F19)&lt;'Lease Comparison'!F14*12,'Lease Comparison'!F13*(1+'Lease Comparison'!F16)^INT((B48-1)/12),0),0)</f>
        <v>5245.0896</v>
      </c>
      <c r="H48" s="24" t="n">
        <f aca="false">IF(B48&lt;='Lease Comparison'!F7,1/(1+'Lease Comparison'!C8)^B48,0)</f>
        <v>0.758982116284868</v>
      </c>
      <c r="I48" s="15" t="n">
        <f aca="false">G48*H48</f>
        <v>3980.92920471175</v>
      </c>
    </row>
    <row r="49" customFormat="false" ht="15" hidden="false" customHeight="false" outlineLevel="0" collapsed="false">
      <c r="B49" s="22" t="n">
        <v>44</v>
      </c>
      <c r="C49" s="23" t="n">
        <f aca="false">IF(B49&lt;='Lease Comparison'!F7,IF(MOD(B49-1,'Lease Comparison'!C19)&lt;'Lease Comparison'!C14*12,'Lease Comparison'!C13*(1+'Lease Comparison'!C16)^INT((B49-1)/12),0),0)</f>
        <v>0</v>
      </c>
      <c r="D49" s="24" t="n">
        <f aca="false">IF(B49&lt;='Lease Comparison'!F7,1/(1+'Lease Comparison'!C8)^B49,0)</f>
        <v>0.75413002102275</v>
      </c>
      <c r="E49" s="15" t="n">
        <f aca="false">C49*D49</f>
        <v>0</v>
      </c>
      <c r="G49" s="23" t="n">
        <f aca="false">IF(B49&lt;='Lease Comparison'!F7,IF(MOD(B49-1,'Lease Comparison'!F19)&lt;'Lease Comparison'!F14*12,'Lease Comparison'!F13*(1+'Lease Comparison'!F16)^INT((B49-1)/12),0),0)</f>
        <v>5245.0896</v>
      </c>
      <c r="H49" s="24" t="n">
        <f aca="false">IF(B49&lt;='Lease Comparison'!F7,1/(1+'Lease Comparison'!C8)^B49,0)</f>
        <v>0.75413002102275</v>
      </c>
      <c r="I49" s="15" t="n">
        <f aca="false">G49*H49</f>
        <v>3955.47953031421</v>
      </c>
    </row>
    <row r="50" customFormat="false" ht="15" hidden="false" customHeight="false" outlineLevel="0" collapsed="false">
      <c r="B50" s="22" t="n">
        <v>45</v>
      </c>
      <c r="C50" s="23" t="n">
        <f aca="false">IF(B50&lt;='Lease Comparison'!F7,IF(MOD(B50-1,'Lease Comparison'!C19)&lt;'Lease Comparison'!C14*12,'Lease Comparison'!C13*(1+'Lease Comparison'!C16)^INT((B50-1)/12),0),0)</f>
        <v>0</v>
      </c>
      <c r="D50" s="24" t="n">
        <f aca="false">IF(B50&lt;='Lease Comparison'!F7,1/(1+'Lease Comparison'!C8)^B50,0)</f>
        <v>0.749308944710786</v>
      </c>
      <c r="E50" s="15" t="n">
        <f aca="false">C50*D50</f>
        <v>0</v>
      </c>
      <c r="G50" s="23" t="n">
        <f aca="false">IF(B50&lt;='Lease Comparison'!F7,IF(MOD(B50-1,'Lease Comparison'!F19)&lt;'Lease Comparison'!F14*12,'Lease Comparison'!F13*(1+'Lease Comparison'!F16)^INT((B50-1)/12),0),0)</f>
        <v>5245.0896</v>
      </c>
      <c r="H50" s="24" t="n">
        <f aca="false">IF(B50&lt;='Lease Comparison'!F7,1/(1+'Lease Comparison'!C8)^B50,0)</f>
        <v>0.749308944710786</v>
      </c>
      <c r="I50" s="15" t="n">
        <f aca="false">G50*H50</f>
        <v>3930.19255308952</v>
      </c>
    </row>
    <row r="51" customFormat="false" ht="15" hidden="false" customHeight="false" outlineLevel="0" collapsed="false">
      <c r="B51" s="22" t="n">
        <v>46</v>
      </c>
      <c r="C51" s="23" t="n">
        <f aca="false">IF(B51&lt;='Lease Comparison'!F7,IF(MOD(B51-1,'Lease Comparison'!C19)&lt;'Lease Comparison'!C14*12,'Lease Comparison'!C13*(1+'Lease Comparison'!C16)^INT((B51-1)/12),0),0)</f>
        <v>4917.2715</v>
      </c>
      <c r="D51" s="24" t="n">
        <f aca="false">IF(B51&lt;='Lease Comparison'!F7,1/(1+'Lease Comparison'!C8)^B51,0)</f>
        <v>0.744518689047991</v>
      </c>
      <c r="E51" s="15" t="n">
        <f aca="false">C51*D51</f>
        <v>3661.00053087305</v>
      </c>
      <c r="G51" s="23" t="n">
        <f aca="false">IF(B51&lt;='Lease Comparison'!F7,IF(MOD(B51-1,'Lease Comparison'!F19)&lt;'Lease Comparison'!F14*12,'Lease Comparison'!F13*(1+'Lease Comparison'!F16)^INT((B51-1)/12),0),0)</f>
        <v>5245.0896</v>
      </c>
      <c r="H51" s="24" t="n">
        <f aca="false">IF(B51&lt;='Lease Comparison'!F7,1/(1+'Lease Comparison'!C8)^B51,0)</f>
        <v>0.744518689047991</v>
      </c>
      <c r="I51" s="15" t="n">
        <f aca="false">G51*H51</f>
        <v>3905.06723293125</v>
      </c>
    </row>
    <row r="52" customFormat="false" ht="15" hidden="false" customHeight="false" outlineLevel="0" collapsed="false">
      <c r="B52" s="22" t="n">
        <v>47</v>
      </c>
      <c r="C52" s="23" t="n">
        <f aca="false">IF(B52&lt;='Lease Comparison'!F7,IF(MOD(B52-1,'Lease Comparison'!C19)&lt;'Lease Comparison'!C14*12,'Lease Comparison'!C13*(1+'Lease Comparison'!C16)^INT((B52-1)/12),0),0)</f>
        <v>4917.2715</v>
      </c>
      <c r="D52" s="24" t="n">
        <f aca="false">IF(B52&lt;='Lease Comparison'!F7,1/(1+'Lease Comparison'!C8)^B52,0)</f>
        <v>0.739759057001098</v>
      </c>
      <c r="E52" s="15" t="n">
        <f aca="false">C52*D52</f>
        <v>3637.59612785837</v>
      </c>
      <c r="G52" s="23" t="n">
        <f aca="false">IF(B52&lt;='Lease Comparison'!F7,IF(MOD(B52-1,'Lease Comparison'!F19)&lt;'Lease Comparison'!F14*12,'Lease Comparison'!F13*(1+'Lease Comparison'!F16)^INT((B52-1)/12),0),0)</f>
        <v>5245.0896</v>
      </c>
      <c r="H52" s="24" t="n">
        <f aca="false">IF(B52&lt;='Lease Comparison'!F7,1/(1+'Lease Comparison'!C8)^B52,0)</f>
        <v>0.739759057001098</v>
      </c>
      <c r="I52" s="15" t="n">
        <f aca="false">G52*H52</f>
        <v>3880.10253638227</v>
      </c>
    </row>
    <row r="53" customFormat="false" ht="15" hidden="false" customHeight="false" outlineLevel="0" collapsed="false">
      <c r="B53" s="22" t="n">
        <v>48</v>
      </c>
      <c r="C53" s="23" t="n">
        <f aca="false">IF(B53&lt;='Lease Comparison'!F7,IF(MOD(B53-1,'Lease Comparison'!C19)&lt;'Lease Comparison'!C14*12,'Lease Comparison'!C13*(1+'Lease Comparison'!C16)^INT((B53-1)/12),0),0)</f>
        <v>4917.2715</v>
      </c>
      <c r="D53" s="24" t="n">
        <f aca="false">IF(B53&lt;='Lease Comparison'!F7,1/(1+'Lease Comparison'!C8)^B53,0)</f>
        <v>0.735029852796454</v>
      </c>
      <c r="E53" s="15" t="n">
        <f aca="false">C53*D53</f>
        <v>3614.3413468052</v>
      </c>
      <c r="G53" s="23" t="n">
        <f aca="false">IF(B53&lt;='Lease Comparison'!F7,IF(MOD(B53-1,'Lease Comparison'!F19)&lt;'Lease Comparison'!F14*12,'Lease Comparison'!F13*(1+'Lease Comparison'!F16)^INT((B53-1)/12),0),0)</f>
        <v>5245.0896</v>
      </c>
      <c r="H53" s="24" t="n">
        <f aca="false">IF(B53&lt;='Lease Comparison'!F7,1/(1+'Lease Comparison'!C8)^B53,0)</f>
        <v>0.735029852796454</v>
      </c>
      <c r="I53" s="15" t="n">
        <f aca="false">G53*H53</f>
        <v>3855.29743659221</v>
      </c>
    </row>
    <row r="54" customFormat="false" ht="15" hidden="false" customHeight="false" outlineLevel="0" collapsed="false">
      <c r="B54" s="22" t="n">
        <v>49</v>
      </c>
      <c r="C54" s="23" t="n">
        <f aca="false">IF(B54&lt;='Lease Comparison'!F7,IF(MOD(B54-1,'Lease Comparison'!C19)&lt;'Lease Comparison'!C14*12,'Lease Comparison'!C13*(1+'Lease Comparison'!C16)^INT((B54-1)/12),0),0)</f>
        <v>5064.789645</v>
      </c>
      <c r="D54" s="24" t="n">
        <f aca="false">IF(B54&lt;='Lease Comparison'!F7,1/(1+'Lease Comparison'!C8)^B54,0)</f>
        <v>0.730330881911967</v>
      </c>
      <c r="E54" s="15" t="n">
        <f aca="false">C54*D54</f>
        <v>3698.97228813145</v>
      </c>
      <c r="G54" s="23" t="n">
        <f aca="false">IF(B54&lt;='Lease Comparison'!F7,IF(MOD(B54-1,'Lease Comparison'!F19)&lt;'Lease Comparison'!F14*12,'Lease Comparison'!F13*(1+'Lease Comparison'!F16)^INT((B54-1)/12),0),0)</f>
        <v>5402.442288</v>
      </c>
      <c r="H54" s="24" t="n">
        <f aca="false">IF(B54&lt;='Lease Comparison'!F7,1/(1+'Lease Comparison'!C8)^B54,0)</f>
        <v>0.730330881911967</v>
      </c>
      <c r="I54" s="15" t="n">
        <f aca="false">G54*H54</f>
        <v>3945.57044067355</v>
      </c>
    </row>
    <row r="55" customFormat="false" ht="15" hidden="false" customHeight="false" outlineLevel="0" collapsed="false">
      <c r="B55" s="22" t="n">
        <v>50</v>
      </c>
      <c r="C55" s="23" t="n">
        <f aca="false">IF(B55&lt;='Lease Comparison'!F7,IF(MOD(B55-1,'Lease Comparison'!C19)&lt;'Lease Comparison'!C14*12,'Lease Comparison'!C13*(1+'Lease Comparison'!C16)^INT((B55-1)/12),0),0)</f>
        <v>5064.789645</v>
      </c>
      <c r="D55" s="24" t="n">
        <f aca="false">IF(B55&lt;='Lease Comparison'!F7,1/(1+'Lease Comparison'!C8)^B55,0)</f>
        <v>0.725661951069105</v>
      </c>
      <c r="E55" s="15" t="n">
        <f aca="false">C55*D55</f>
        <v>3675.3251355453</v>
      </c>
      <c r="G55" s="23" t="n">
        <f aca="false">IF(B55&lt;='Lease Comparison'!F7,IF(MOD(B55-1,'Lease Comparison'!F19)&lt;'Lease Comparison'!F14*12,'Lease Comparison'!F13*(1+'Lease Comparison'!F16)^INT((B55-1)/12),0),0)</f>
        <v>5402.442288</v>
      </c>
      <c r="H55" s="24" t="n">
        <f aca="false">IF(B55&lt;='Lease Comparison'!F7,1/(1+'Lease Comparison'!C8)^B55,0)</f>
        <v>0.725661951069105</v>
      </c>
      <c r="I55" s="15" t="n">
        <f aca="false">G55*H55</f>
        <v>3920.34681124832</v>
      </c>
    </row>
    <row r="56" customFormat="false" ht="15" hidden="false" customHeight="false" outlineLevel="0" collapsed="false">
      <c r="B56" s="22" t="n">
        <v>51</v>
      </c>
      <c r="C56" s="23" t="n">
        <f aca="false">IF(B56&lt;='Lease Comparison'!F7,IF(MOD(B56-1,'Lease Comparison'!C19)&lt;'Lease Comparison'!C14*12,'Lease Comparison'!C13*(1+'Lease Comparison'!C16)^INT((B56-1)/12),0),0)</f>
        <v>5064.789645</v>
      </c>
      <c r="D56" s="24" t="n">
        <f aca="false">IF(B56&lt;='Lease Comparison'!F7,1/(1+'Lease Comparison'!C8)^B56,0)</f>
        <v>0.721022868224945</v>
      </c>
      <c r="E56" s="15" t="n">
        <f aca="false">C56*D56</f>
        <v>3651.8291567939</v>
      </c>
      <c r="G56" s="23" t="n">
        <f aca="false">IF(B56&lt;='Lease Comparison'!F7,IF(MOD(B56-1,'Lease Comparison'!F19)&lt;'Lease Comparison'!F14*12,'Lease Comparison'!F13*(1+'Lease Comparison'!F16)^INT((B56-1)/12),0),0)</f>
        <v>5402.442288</v>
      </c>
      <c r="H56" s="24" t="n">
        <f aca="false">IF(B56&lt;='Lease Comparison'!F7,1/(1+'Lease Comparison'!C8)^B56,0)</f>
        <v>0.721022868224945</v>
      </c>
      <c r="I56" s="15" t="n">
        <f aca="false">G56*H56</f>
        <v>3895.28443391349</v>
      </c>
    </row>
    <row r="57" customFormat="false" ht="15" hidden="false" customHeight="false" outlineLevel="0" collapsed="false">
      <c r="B57" s="22" t="n">
        <v>52</v>
      </c>
      <c r="C57" s="23" t="n">
        <f aca="false">IF(B57&lt;='Lease Comparison'!F7,IF(MOD(B57-1,'Lease Comparison'!C19)&lt;'Lease Comparison'!C14*12,'Lease Comparison'!C13*(1+'Lease Comparison'!C16)^INT((B57-1)/12),0),0)</f>
        <v>5064.789645</v>
      </c>
      <c r="D57" s="24" t="n">
        <f aca="false">IF(B57&lt;='Lease Comparison'!F7,1/(1+'Lease Comparison'!C8)^B57,0)</f>
        <v>0.716413442564275</v>
      </c>
      <c r="E57" s="15" t="n">
        <f aca="false">C57*D57</f>
        <v>3628.48338543834</v>
      </c>
      <c r="G57" s="23" t="n">
        <f aca="false">IF(B57&lt;='Lease Comparison'!F7,IF(MOD(B57-1,'Lease Comparison'!F19)&lt;'Lease Comparison'!F14*12,'Lease Comparison'!F13*(1+'Lease Comparison'!F16)^INT((B57-1)/12),0),0)</f>
        <v>5402.442288</v>
      </c>
      <c r="H57" s="24" t="n">
        <f aca="false">IF(B57&lt;='Lease Comparison'!F7,1/(1+'Lease Comparison'!C8)^B57,0)</f>
        <v>0.716413442564275</v>
      </c>
      <c r="I57" s="15" t="n">
        <f aca="false">G57*H57</f>
        <v>3870.3822778009</v>
      </c>
    </row>
    <row r="58" customFormat="false" ht="15" hidden="false" customHeight="false" outlineLevel="0" collapsed="false">
      <c r="B58" s="22" t="n">
        <v>53</v>
      </c>
      <c r="C58" s="23" t="n">
        <f aca="false">IF(B58&lt;='Lease Comparison'!F7,IF(MOD(B58-1,'Lease Comparison'!C19)&lt;'Lease Comparison'!C14*12,'Lease Comparison'!C13*(1+'Lease Comparison'!C16)^INT((B58-1)/12),0),0)</f>
        <v>5064.789645</v>
      </c>
      <c r="D58" s="24" t="n">
        <f aca="false">IF(B58&lt;='Lease Comparison'!F7,1/(1+'Lease Comparison'!C8)^B58,0)</f>
        <v>0.711833484491746</v>
      </c>
      <c r="E58" s="15" t="n">
        <f aca="false">C58*D58</f>
        <v>3605.28686121807</v>
      </c>
      <c r="G58" s="23" t="n">
        <f aca="false">IF(B58&lt;='Lease Comparison'!F7,IF(MOD(B58-1,'Lease Comparison'!F19)&lt;'Lease Comparison'!F14*12,'Lease Comparison'!F13*(1+'Lease Comparison'!F16)^INT((B58-1)/12),0),0)</f>
        <v>5402.442288</v>
      </c>
      <c r="H58" s="24" t="n">
        <f aca="false">IF(B58&lt;='Lease Comparison'!F7,1/(1+'Lease Comparison'!C8)^B58,0)</f>
        <v>0.711833484491746</v>
      </c>
      <c r="I58" s="15" t="n">
        <f aca="false">G58*H58</f>
        <v>3845.6393186326</v>
      </c>
    </row>
    <row r="59" customFormat="false" ht="15" hidden="false" customHeight="false" outlineLevel="0" collapsed="false">
      <c r="B59" s="22" t="n">
        <v>54</v>
      </c>
      <c r="C59" s="23" t="n">
        <f aca="false">IF(B59&lt;='Lease Comparison'!F7,IF(MOD(B59-1,'Lease Comparison'!C19)&lt;'Lease Comparison'!C14*12,'Lease Comparison'!C13*(1+'Lease Comparison'!C16)^INT((B59-1)/12),0),0)</f>
        <v>5064.789645</v>
      </c>
      <c r="D59" s="24" t="n">
        <f aca="false">IF(B59&lt;='Lease Comparison'!F7,1/(1+'Lease Comparison'!C8)^B59,0)</f>
        <v>0.707282805624073</v>
      </c>
      <c r="E59" s="15" t="n">
        <f aca="false">C59*D59</f>
        <v>3582.23863001135</v>
      </c>
      <c r="G59" s="23" t="n">
        <f aca="false">IF(B59&lt;='Lease Comparison'!F7,IF(MOD(B59-1,'Lease Comparison'!F19)&lt;'Lease Comparison'!F14*12,'Lease Comparison'!F13*(1+'Lease Comparison'!F16)^INT((B59-1)/12),0),0)</f>
        <v>5402.442288</v>
      </c>
      <c r="H59" s="24" t="n">
        <f aca="false">IF(B59&lt;='Lease Comparison'!F7,1/(1+'Lease Comparison'!C8)^B59,0)</f>
        <v>0.707282805624073</v>
      </c>
      <c r="I59" s="15" t="n">
        <f aca="false">G59*H59</f>
        <v>3821.05453867878</v>
      </c>
    </row>
    <row r="60" customFormat="false" ht="15" hidden="false" customHeight="false" outlineLevel="0" collapsed="false">
      <c r="B60" s="22" t="n">
        <v>55</v>
      </c>
      <c r="C60" s="23" t="n">
        <f aca="false">IF(B60&lt;='Lease Comparison'!F7,IF(MOD(B60-1,'Lease Comparison'!C19)&lt;'Lease Comparison'!C14*12,'Lease Comparison'!C13*(1+'Lease Comparison'!C16)^INT((B60-1)/12),0),0)</f>
        <v>5064.789645</v>
      </c>
      <c r="D60" s="24" t="n">
        <f aca="false">IF(B60&lt;='Lease Comparison'!F7,1/(1+'Lease Comparison'!C8)^B60,0)</f>
        <v>0.702761218782285</v>
      </c>
      <c r="E60" s="15" t="n">
        <f aca="false">C60*D60</f>
        <v>3559.3377437961</v>
      </c>
      <c r="G60" s="23" t="n">
        <f aca="false">IF(B60&lt;='Lease Comparison'!F7,IF(MOD(B60-1,'Lease Comparison'!F19)&lt;'Lease Comparison'!F14*12,'Lease Comparison'!F13*(1+'Lease Comparison'!F16)^INT((B60-1)/12),0),0)</f>
        <v>5402.442288</v>
      </c>
      <c r="H60" s="24" t="n">
        <f aca="false">IF(B60&lt;='Lease Comparison'!F7,1/(1+'Lease Comparison'!C8)^B60,0)</f>
        <v>0.702761218782285</v>
      </c>
      <c r="I60" s="15" t="n">
        <f aca="false">G60*H60</f>
        <v>3796.62692671584</v>
      </c>
    </row>
    <row r="61" customFormat="false" ht="15" hidden="false" customHeight="false" outlineLevel="0" collapsed="false">
      <c r="B61" s="22" t="n">
        <v>56</v>
      </c>
      <c r="C61" s="23" t="n">
        <f aca="false">IF(B61&lt;='Lease Comparison'!F7,IF(MOD(B61-1,'Lease Comparison'!C19)&lt;'Lease Comparison'!C14*12,'Lease Comparison'!C13*(1+'Lease Comparison'!C16)^INT((B61-1)/12),0),0)</f>
        <v>5064.789645</v>
      </c>
      <c r="D61" s="24" t="n">
        <f aca="false">IF(B61&lt;='Lease Comparison'!F7,1/(1+'Lease Comparison'!C8)^B61,0)</f>
        <v>0.698268537984028</v>
      </c>
      <c r="E61" s="15" t="n">
        <f aca="false">C61*D61</f>
        <v>3536.58326061079</v>
      </c>
      <c r="G61" s="23" t="n">
        <f aca="false">IF(B61&lt;='Lease Comparison'!F7,IF(MOD(B61-1,'Lease Comparison'!F19)&lt;'Lease Comparison'!F14*12,'Lease Comparison'!F13*(1+'Lease Comparison'!F16)^INT((B61-1)/12),0),0)</f>
        <v>5402.442288</v>
      </c>
      <c r="H61" s="24" t="n">
        <f aca="false">IF(B61&lt;='Lease Comparison'!F7,1/(1+'Lease Comparison'!C8)^B61,0)</f>
        <v>0.698268537984028</v>
      </c>
      <c r="I61" s="15" t="n">
        <f aca="false">G61*H61</f>
        <v>3772.35547798485</v>
      </c>
    </row>
    <row r="62" customFormat="false" ht="15" hidden="false" customHeight="false" outlineLevel="0" collapsed="false">
      <c r="B62" s="22" t="n">
        <v>57</v>
      </c>
      <c r="C62" s="23" t="n">
        <f aca="false">IF(B62&lt;='Lease Comparison'!F7,IF(MOD(B62-1,'Lease Comparison'!C19)&lt;'Lease Comparison'!C14*12,'Lease Comparison'!C13*(1+'Lease Comparison'!C16)^INT((B62-1)/12),0),0)</f>
        <v>5064.789645</v>
      </c>
      <c r="D62" s="24" t="n">
        <f aca="false">IF(B62&lt;='Lease Comparison'!F7,1/(1+'Lease Comparison'!C8)^B62,0)</f>
        <v>0.693804578435913</v>
      </c>
      <c r="E62" s="15" t="n">
        <f aca="false">C62*D62</f>
        <v>3513.9742445158</v>
      </c>
      <c r="G62" s="23" t="n">
        <f aca="false">IF(B62&lt;='Lease Comparison'!F7,IF(MOD(B62-1,'Lease Comparison'!F19)&lt;'Lease Comparison'!F14*12,'Lease Comparison'!F13*(1+'Lease Comparison'!F16)^INT((B62-1)/12),0),0)</f>
        <v>5402.442288</v>
      </c>
      <c r="H62" s="24" t="n">
        <f aca="false">IF(B62&lt;='Lease Comparison'!F7,1/(1+'Lease Comparison'!C8)^B62,0)</f>
        <v>0.693804578435913</v>
      </c>
      <c r="I62" s="15" t="n">
        <f aca="false">G62*H62</f>
        <v>3748.23919415019</v>
      </c>
    </row>
    <row r="63" customFormat="false" ht="15" hidden="false" customHeight="false" outlineLevel="0" collapsed="false">
      <c r="B63" s="22" t="n">
        <v>58</v>
      </c>
      <c r="C63" s="23" t="n">
        <f aca="false">IF(B63&lt;='Lease Comparison'!F7,IF(MOD(B63-1,'Lease Comparison'!C19)&lt;'Lease Comparison'!C14*12,'Lease Comparison'!C13*(1+'Lease Comparison'!C16)^INT((B63-1)/12),0),0)</f>
        <v>0</v>
      </c>
      <c r="D63" s="24" t="n">
        <f aca="false">IF(B63&lt;='Lease Comparison'!F7,1/(1+'Lease Comparison'!C8)^B63,0)</f>
        <v>0.689369156525918</v>
      </c>
      <c r="E63" s="15" t="n">
        <f aca="false">C63*D63</f>
        <v>0</v>
      </c>
      <c r="G63" s="23" t="n">
        <f aca="false">IF(B63&lt;='Lease Comparison'!F7,IF(MOD(B63-1,'Lease Comparison'!F19)&lt;'Lease Comparison'!F14*12,'Lease Comparison'!F13*(1+'Lease Comparison'!F16)^INT((B63-1)/12),0),0)</f>
        <v>5402.442288</v>
      </c>
      <c r="H63" s="24" t="n">
        <f aca="false">IF(B63&lt;='Lease Comparison'!F7,1/(1+'Lease Comparison'!C8)^B63,0)</f>
        <v>0.689369156525918</v>
      </c>
      <c r="I63" s="15" t="n">
        <f aca="false">G63*H63</f>
        <v>3724.27708325851</v>
      </c>
    </row>
    <row r="64" customFormat="false" ht="15" hidden="false" customHeight="false" outlineLevel="0" collapsed="false">
      <c r="B64" s="22" t="n">
        <v>59</v>
      </c>
      <c r="C64" s="23" t="n">
        <f aca="false">IF(B64&lt;='Lease Comparison'!F7,IF(MOD(B64-1,'Lease Comparison'!C19)&lt;'Lease Comparison'!C14*12,'Lease Comparison'!C13*(1+'Lease Comparison'!C16)^INT((B64-1)/12),0),0)</f>
        <v>0</v>
      </c>
      <c r="D64" s="24" t="n">
        <f aca="false">IF(B64&lt;='Lease Comparison'!F7,1/(1+'Lease Comparison'!C8)^B64,0)</f>
        <v>0.684962089815832</v>
      </c>
      <c r="E64" s="15" t="n">
        <f aca="false">C64*D64</f>
        <v>0</v>
      </c>
      <c r="G64" s="23" t="n">
        <f aca="false">IF(B64&lt;='Lease Comparison'!F7,IF(MOD(B64-1,'Lease Comparison'!F19)&lt;'Lease Comparison'!F14*12,'Lease Comparison'!F13*(1+'Lease Comparison'!F16)^INT((B64-1)/12),0),0)</f>
        <v>5402.442288</v>
      </c>
      <c r="H64" s="24" t="n">
        <f aca="false">IF(B64&lt;='Lease Comparison'!F7,1/(1+'Lease Comparison'!C8)^B64,0)</f>
        <v>0.684962089815832</v>
      </c>
      <c r="I64" s="15" t="n">
        <f aca="false">G64*H64</f>
        <v>3700.4681596979</v>
      </c>
    </row>
    <row r="65" customFormat="false" ht="15" hidden="false" customHeight="false" outlineLevel="0" collapsed="false">
      <c r="B65" s="22" t="n">
        <v>60</v>
      </c>
      <c r="C65" s="23" t="n">
        <f aca="false">IF(B65&lt;='Lease Comparison'!F7,IF(MOD(B65-1,'Lease Comparison'!C19)&lt;'Lease Comparison'!C14*12,'Lease Comparison'!C13*(1+'Lease Comparison'!C16)^INT((B65-1)/12),0),0)</f>
        <v>0</v>
      </c>
      <c r="D65" s="24" t="n">
        <f aca="false">IF(B65&lt;='Lease Comparison'!F7,1/(1+'Lease Comparison'!C8)^B65,0)</f>
        <v>0.680583197033754</v>
      </c>
      <c r="E65" s="15" t="n">
        <f aca="false">C65*D65</f>
        <v>0</v>
      </c>
      <c r="G65" s="23" t="n">
        <f aca="false">IF(B65&lt;='Lease Comparison'!F7,IF(MOD(B65-1,'Lease Comparison'!F19)&lt;'Lease Comparison'!F14*12,'Lease Comparison'!F13*(1+'Lease Comparison'!F16)^INT((B65-1)/12),0),0)</f>
        <v>5402.442288</v>
      </c>
      <c r="H65" s="24" t="n">
        <f aca="false">IF(B65&lt;='Lease Comparison'!F7,1/(1+'Lease Comparison'!C8)^B65,0)</f>
        <v>0.680583197033754</v>
      </c>
      <c r="I65" s="15" t="n">
        <f aca="false">G65*H65</f>
        <v>3676.81144415739</v>
      </c>
    </row>
    <row r="66" customFormat="false" ht="15" hidden="false" customHeight="false" outlineLevel="0" collapsed="false">
      <c r="B66" s="17" t="s">
        <v>33</v>
      </c>
      <c r="C66" s="25" t="n">
        <f aca="false">SUM(C6:C65)</f>
        <v>228520.000305</v>
      </c>
      <c r="E66" s="25" t="n">
        <f aca="false">SUM(E6:E65)</f>
        <v>190003.811097799</v>
      </c>
      <c r="G66" s="25" t="n">
        <f aca="false">SUM(G6:G65)</f>
        <v>305806.222656</v>
      </c>
      <c r="I66" s="25" t="n">
        <f aca="false">SUM(I6:I65)</f>
        <v>251881.746327072</v>
      </c>
    </row>
    <row r="67" customFormat="false" ht="15" hidden="false" customHeight="false" outlineLevel="0" collapsed="false">
      <c r="B67" s="26" t="s">
        <v>34</v>
      </c>
      <c r="E67" s="13" t="n">
        <f aca="false">E66-'Lease Comparison'!C15</f>
        <v>190003.811097799</v>
      </c>
      <c r="I67" s="14" t="n">
        <f aca="false">I66-'Lease Comparison'!F15</f>
        <v>216881.746327072</v>
      </c>
    </row>
  </sheetData>
  <mergeCells count="2">
    <mergeCell ref="B4:E4"/>
    <mergeCell ref="G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2026-04-20T00:26:42Z</dcterms:created>
  <dc:creator>openpyxl</dc:creator>
  <dc:description/>
  <dc:language>en-US</dc:language>
  <cp:lastModifiedBy/>
  <dcterms:modified xsi:type="dcterms:W3CDTF">2026-04-20T00:26:42Z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