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eadlines" sheetId="2" state="visible" r:id="rId4"/>
    <sheet name="Slide2_ReserveComp" sheetId="3" state="visible" r:id="rId5"/>
    <sheet name="Slide3_YoYExpenses" sheetId="4" state="visible" r:id="rId6"/>
    <sheet name="Slide4_MaintHistory" sheetId="5" state="visible" r:id="rId7"/>
    <sheet name="Slide5_CapitalPlan" sheetId="6" state="visible" r:id="rId8"/>
    <sheet name="Slide6_ReserveProj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<sst xmlns="http://schemas.openxmlformats.org/spreadsheetml/2006/main" count="188" uniqueCount="160">
  <si>
    <t xml:space="preserve">34 Plaza — Financial Update Source Data</t>
  </si>
  <si>
    <t xml:space="preserve">Companion workbook for the 2026 Annual Meeting financial update deck (v3, 7 slides).</t>
  </si>
  <si>
    <t xml:space="preserve">Color key</t>
  </si>
  <si>
    <t xml:space="preserve">Blue text</t>
  </si>
  <si>
    <t xml:space="preserve">Inputs you can edit</t>
  </si>
  <si>
    <t xml:space="preserve">Black text</t>
  </si>
  <si>
    <t xml:space="preserve">Formulas (auto-calculated)</t>
  </si>
  <si>
    <t xml:space="preserve">Yellow fill</t>
  </si>
  <si>
    <t xml:space="preserve">Key assumption to review each year</t>
  </si>
  <si>
    <t xml:space="preserve">Tabs</t>
  </si>
  <si>
    <t xml:space="preserve">Headlines</t>
  </si>
  <si>
    <t xml:space="preserve">Slide 2 KPI tiles + Slide 7 summary stats</t>
  </si>
  <si>
    <t xml:space="preserve">Slide2_ReserveComp</t>
  </si>
  <si>
    <t xml:space="preserve">Slide 2 reserve fund composition stacked bar (2024 YE vs 2025 YE)</t>
  </si>
  <si>
    <t xml:space="preserve">Slide3_YoYExpenses</t>
  </si>
  <si>
    <t xml:space="preserve">Slide 3 operating expenses by major category — 2024 vs 2025</t>
  </si>
  <si>
    <t xml:space="preserve">Slide4_MaintHistory</t>
  </si>
  <si>
    <t xml:space="preserve">Slide 4 12-year maintenance % increase + 2026 cost-driver tiles</t>
  </si>
  <si>
    <t xml:space="preserve">Slide5_CapitalPlan</t>
  </si>
  <si>
    <t xml:space="preserve">Slide 5 capital plan 2026–2030 by project + decision callouts</t>
  </si>
  <si>
    <t xml:space="preserve">Slide6_ReserveProj</t>
  </si>
  <si>
    <t xml:space="preserve">Slide 6 5-year reserve cash flow + 3-month benchmark</t>
  </si>
  <si>
    <t xml:space="preserve">After importing this file to Google Sheets:</t>
  </si>
  <si>
    <t xml:space="preserve">1. Open the Google Slides version of the deck.</t>
  </si>
  <si>
    <t xml:space="preserve">2. Click a chart, then 'Insert' &gt; 'Chart' &gt; 'From Sheets', and pick the matching tab from this workbook.</t>
  </si>
  <si>
    <t xml:space="preserve">3. Charts then refresh automatically when you edit the blue-text inputs on this sheet.</t>
  </si>
  <si>
    <t xml:space="preserve">Headline numbers — Slide 2 (2025 Results) + Slide 7 (Summary)</t>
  </si>
  <si>
    <t xml:space="preserve">Slide 2: 2025 Results scorecard</t>
  </si>
  <si>
    <t xml:space="preserve">Operating income (actual)</t>
  </si>
  <si>
    <t xml:space="preserve">Audited Exhibit E</t>
  </si>
  <si>
    <t xml:space="preserve">Operating income (budget)</t>
  </si>
  <si>
    <t xml:space="preserve">Operating expenses (actual)</t>
  </si>
  <si>
    <t xml:space="preserve">Operating expenses (budget)</t>
  </si>
  <si>
    <t xml:space="preserve">Operating cash result</t>
  </si>
  <si>
    <t xml:space="preserve">income actual - expense actual</t>
  </si>
  <si>
    <t xml:space="preserve">Reserve fund, YE 2024</t>
  </si>
  <si>
    <t xml:space="preserve">Audited Schedule 1</t>
  </si>
  <si>
    <t xml:space="preserve">Reserve fund, YE 2025</t>
  </si>
  <si>
    <t xml:space="preserve">Capital assessment (board-approved 2025)</t>
  </si>
  <si>
    <t xml:space="preserve">Audited Note 8</t>
  </si>
  <si>
    <t xml:space="preserve">Audit opinion</t>
  </si>
  <si>
    <t xml:space="preserve">Unmodified (clean)</t>
  </si>
  <si>
    <t xml:space="preserve">Marin &amp; Montanye, LLP</t>
  </si>
  <si>
    <t xml:space="preserve">Slide 7: Summary stats</t>
  </si>
  <si>
    <t xml:space="preserve">Maintenance increase 2026</t>
  </si>
  <si>
    <t xml:space="preserve">Budget PDF Note 3</t>
  </si>
  <si>
    <t xml:space="preserve">Reserve fund growth, 2025</t>
  </si>
  <si>
    <t xml:space="preserve">auto: YE2025 / YE2024 - 1</t>
  </si>
  <si>
    <t xml:space="preserve">Reserve fund composition — Slide 2</t>
  </si>
  <si>
    <t xml:space="preserve">Source: 34 Plaza Audited Financials, Schedule 1 + Note 8</t>
  </si>
  <si>
    <t xml:space="preserve">Chart source</t>
  </si>
  <si>
    <t xml:space="preserve">2024 YE</t>
  </si>
  <si>
    <t xml:space="preserve">2025 YE</t>
  </si>
  <si>
    <t xml:space="preserve">Unrestricted</t>
  </si>
  <si>
    <t xml:space="preserve">Deferred (earmarked for elevator)</t>
  </si>
  <si>
    <t xml:space="preserve">Total reserve</t>
  </si>
  <si>
    <t xml:space="preserve">Year-over-year growth</t>
  </si>
  <si>
    <t xml:space="preserve">Note</t>
  </si>
  <si>
    <t xml:space="preserve">Deferred portion = remainder of the 2025 $1.2M capital assessment, held</t>
  </si>
  <si>
    <t xml:space="preserve">until elevator project commences (audited Note 8).</t>
  </si>
  <si>
    <t xml:space="preserve">Operating expenses · 2024 vs 2025 — Slide 3</t>
  </si>
  <si>
    <t xml:space="preserve">Source: 34 Plaza APPROVED 2026 Budget p.2 (consistent category framework)</t>
  </si>
  <si>
    <t xml:space="preserve">Chart source — operating expenses by major category</t>
  </si>
  <si>
    <t xml:space="preserve">Category</t>
  </si>
  <si>
    <t xml:space="preserve">2024 Actual</t>
  </si>
  <si>
    <t xml:space="preserve">2025 Actual</t>
  </si>
  <si>
    <t xml:space="preserve">Δ $</t>
  </si>
  <si>
    <t xml:space="preserve">Δ %</t>
  </si>
  <si>
    <t xml:space="preserve">Payroll &amp; Related</t>
  </si>
  <si>
    <t xml:space="preserve">Real estate taxes</t>
  </si>
  <si>
    <t xml:space="preserve">Prof. fees / permits / ins</t>
  </si>
  <si>
    <t xml:space="preserve">R&amp;M</t>
  </si>
  <si>
    <t xml:space="preserve">Utilities</t>
  </si>
  <si>
    <t xml:space="preserve">Financial (mortgage)</t>
  </si>
  <si>
    <t xml:space="preserve">Supplies &amp; misc.</t>
  </si>
  <si>
    <t xml:space="preserve">Total</t>
  </si>
  <si>
    <t xml:space="preserve">Maintenance history + 2026 cost-driver tiles — Slide 4</t>
  </si>
  <si>
    <t xml:space="preserve">Source: 34 Plaza APPROVED 2026 Budget p.5; cost-driver detail pp.6,10,12</t>
  </si>
  <si>
    <t xml:space="preserve">Maintenance % increase, 12-year view</t>
  </si>
  <si>
    <t xml:space="preserve">Year</t>
  </si>
  <si>
    <t xml:space="preserve">$/share/year</t>
  </si>
  <si>
    <t xml:space="preserve">% Increase</t>
  </si>
  <si>
    <t xml:space="preserve">Average 2015–2024</t>
  </si>
  <si>
    <t xml:space="preserve">2026 cost-driver tiles</t>
  </si>
  <si>
    <t xml:space="preserve">Driver</t>
  </si>
  <si>
    <t xml:space="preserve">2025 Budget</t>
  </si>
  <si>
    <t xml:space="preserve">2026 Budget</t>
  </si>
  <si>
    <t xml:space="preserve">% Change</t>
  </si>
  <si>
    <t xml:space="preserve">Story</t>
  </si>
  <si>
    <t xml:space="preserve">Insurance</t>
  </si>
  <si>
    <t xml:space="preserve">Umbrella + excess up 101%, D&amp;O up 20%; hard NYC market</t>
  </si>
  <si>
    <t xml:space="preserve">Payroll &amp; related</t>
  </si>
  <si>
    <t xml:space="preserve">32BJ union contract expires April 20, 2026</t>
  </si>
  <si>
    <t xml:space="preserve">Co-op tax abatement extended through June 30, 2027</t>
  </si>
  <si>
    <t xml:space="preserve">Capital Plan 2026–2030 — Targeted Tile Repair scenario · updated March 2026</t>
  </si>
  <si>
    <t xml:space="preserve">Source: Capital Plan 2026+ (Targeted Tile Repair tab) — elevator now spans 2026 + 2027</t>
  </si>
  <si>
    <t xml:space="preserve">Capex by project (input)</t>
  </si>
  <si>
    <t xml:space="preserve">Project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</si>
  <si>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</si>
  <si>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</si>
  <si>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</si>
  <si>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</si>
  <si>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</si>
  <si>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FISP/LL11 — SAFE filing</t>
  </si>
  <si>
    <t xml:space="preserve">Compliance</t>
  </si>
  <si>
    <t xml:space="preserve">Sidewalks (Targeted Tile Repair)</t>
  </si>
  <si>
    <t xml:space="preserve">Sidewalks</t>
  </si>
  <si>
    <t xml:space="preserve">Professional space buildout</t>
  </si>
  <si>
    <t xml:space="preserve">Commercial</t>
  </si>
  <si>
    <t xml:space="preserve">Garage — balance from 2025</t>
  </si>
  <si>
    <t xml:space="preserve">Garage</t>
  </si>
  <si>
    <t xml:space="preserve">Elevator modernization</t>
  </si>
  <si>
    <t xml:space="preserve">Elevator</t>
  </si>
  <si>
    <t xml:space="preserve">Lobby HVAC</t>
  </si>
  <si>
    <t xml:space="preserve">Lobby</t>
  </si>
  <si>
    <t xml:space="preserve">Lobby renovation</t>
  </si>
  <si>
    <t xml:space="preserve">G-Level</t>
  </si>
  <si>
    <t xml:space="preserve">LL11 proposal</t>
  </si>
  <si>
    <t xml:space="preserve">General capital maintenance</t>
  </si>
  <si>
    <t xml:space="preserve">Maintenance</t>
  </si>
  <si>
    <t xml:space="preserve">TOTAL</t>
  </si>
  <si>
    <t xml:space="preserve">Chart source — by category by year (stacked column)</t>
  </si>
  <si>
    <t xml:space="preserve">Board decision · Sidewalks</t>
  </si>
  <si>
    <t xml:space="preserve">Full sidewalk replacement (rejected)</t>
  </si>
  <si>
    <t xml:space="preserve">Targeted tile repair (selected)</t>
  </si>
  <si>
    <t xml:space="preserve">Savings redirected to reserve / elevator</t>
  </si>
  <si>
    <t xml:space="preserve">Board decision · Elevator</t>
  </si>
  <si>
    <t xml:space="preserve">Decision</t>
  </si>
  <si>
    <t xml:space="preserve">Pushed back one year to extend life of existing system</t>
  </si>
  <si>
    <t xml:space="preserve">RFP launches</t>
  </si>
  <si>
    <t xml:space="preserve">Summer 2026</t>
  </si>
  <si>
    <t xml:space="preserve">Build period</t>
  </si>
  <si>
    <t xml:space="preserve">12–18 months</t>
  </si>
  <si>
    <t xml:space="preserve">Total project cost</t>
  </si>
  <si>
    <t xml:space="preserve">2026 + 2027 elevator spending</t>
  </si>
  <si>
    <t xml:space="preserve">Reserve cash flow projection — Slide 6</t>
  </si>
  <si>
    <t xml:space="preserve">Source: Capital Plan 2026+ (Targeted Tile Repair tab, updated March 2026) — reserve cash flow</t>
  </si>
  <si>
    <t xml:space="preserve">Assumptions (edit yellow cells)</t>
  </si>
  <si>
    <t xml:space="preserve">Opening reserve balance, 1/1/2026</t>
  </si>
  <si>
    <t xml:space="preserve">Capital contribution, 2026</t>
  </si>
  <si>
    <t xml:space="preserve">Capital contribution annual growth rate</t>
  </si>
  <si>
    <t xml:space="preserve">3-month maintenance, 2026 (benchmark)</t>
  </si>
  <si>
    <t xml:space="preserve">Benchmark annual growth rate</t>
  </si>
  <si>
    <t xml:space="preserve">Reserve cash flow (5-year)</t>
  </si>
  <si>
    <t xml:space="preserve">Beginning reserve</t>
  </si>
  <si>
    <t xml:space="preserve">+ Capital assessment income (tail)</t>
  </si>
  <si>
    <t xml:space="preserve">+ Capital contribution</t>
  </si>
  <si>
    <t xml:space="preserve">Total inflows</t>
  </si>
  <si>
    <t xml:space="preserve">− Project spending</t>
  </si>
  <si>
    <t xml:space="preserve">Net change in reserves</t>
  </si>
  <si>
    <t xml:space="preserve">Ending reserve, projected</t>
  </si>
  <si>
    <t xml:space="preserve">3-month maintenance benchmark</t>
  </si>
  <si>
    <t xml:space="preserve">Coverage (reserve ÷ benchmark)</t>
  </si>
  <si>
    <t xml:space="preserve">2028 mortgage refi sensitivity</t>
  </si>
  <si>
    <t xml:space="preserve">Current mortgage principal</t>
  </si>
  <si>
    <t xml:space="preserve">Current rate (interest-only)</t>
  </si>
  <si>
    <t xml:space="preserve">Current debt service ($/yr)</t>
  </si>
  <si>
    <t xml:space="preserve">Scenario rate</t>
  </si>
  <si>
    <t xml:space="preserve">Scenario debt service ($/yr)</t>
  </si>
  <si>
    <t xml:space="preserve">Δ vs current ($/yr)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</si>
</sst>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"/>
    <numFmt numFmtId="167" formatCode="\$#,##0"/>
    <numFmt numFmtId="168" formatCode="0"/>
    <numFmt numFmtId="169" formatCode="\$0.00"/>
    <numFmt numFmtId="170" formatCode="0%"/>
    <numFmt numFmtId="171" formatCode="0.0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2"/>
      <color rgb="FF1E5A8C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0804A"/>
      <name val="Calibri"/>
      <family val="0"/>
      <charset val="1"/>
    </font>
    <font>
      <sz val="1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D97706"/>
      <name val="Calibri"/>
      <family val="0"/>
      <charset val="1"/>
    </font>
    <font>
      <b val="true"/>
      <sz val="11"/>
      <color rgb="FF1E5A8C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FFFFFF"/>
      </patternFill>
    </fill>
    <fill>
      <patternFill patternType="solid">
        <fgColor rgb="FF1E5A8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804A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1E5A8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1" t="s">
        <v>4</v>
      </c>
    </row>
    <row r="6" customFormat="false" ht="15" hidden="false" customHeight="true" outlineLevel="0" collapsed="false">
      <c r="A6" s="1" t="s">
        <v>5</v>
      </c>
      <c r="B6" s="1" t="s">
        <v>6</v>
      </c>
    </row>
    <row r="7" customFormat="false" ht="15" hidden="false" customHeight="true" outlineLevel="0" collapsed="false">
      <c r="A7" s="6" t="s">
        <v>7</v>
      </c>
      <c r="B7" s="1" t="s">
        <v>8</v>
      </c>
    </row>
    <row r="9" customFormat="false" ht="15" hidden="false" customHeight="true" outlineLevel="0" collapsed="false">
      <c r="A9" s="4" t="s">
        <v>9</v>
      </c>
    </row>
    <row r="10" customFormat="false" ht="15" hidden="false" customHeight="true" outlineLevel="0" collapsed="false">
      <c r="A10" s="7" t="s">
        <v>10</v>
      </c>
      <c r="B10" s="8" t="s">
        <v>11</v>
      </c>
    </row>
    <row r="11" customFormat="false" ht="15" hidden="false" customHeight="true" outlineLevel="0" collapsed="false">
      <c r="A11" s="7" t="s">
        <v>12</v>
      </c>
      <c r="B11" s="8" t="s">
        <v>13</v>
      </c>
    </row>
    <row r="12" customFormat="false" ht="15" hidden="false" customHeight="true" outlineLevel="0" collapsed="false">
      <c r="A12" s="7" t="s">
        <v>14</v>
      </c>
      <c r="B12" s="8" t="s">
        <v>15</v>
      </c>
    </row>
    <row r="13" customFormat="false" ht="15" hidden="false" customHeight="true" outlineLevel="0" collapsed="false">
      <c r="A13" s="7" t="s">
        <v>16</v>
      </c>
      <c r="B13" s="8" t="s">
        <v>17</v>
      </c>
    </row>
    <row r="14" customFormat="false" ht="15" hidden="false" customHeight="true" outlineLevel="0" collapsed="false">
      <c r="A14" s="7" t="s">
        <v>18</v>
      </c>
      <c r="B14" s="8" t="s">
        <v>19</v>
      </c>
    </row>
    <row r="15" customFormat="false" ht="15" hidden="false" customHeight="true" outlineLevel="0" collapsed="false">
      <c r="A15" s="7" t="s">
        <v>20</v>
      </c>
      <c r="B15" s="8" t="s">
        <v>21</v>
      </c>
    </row>
    <row r="18" customFormat="false" ht="15" hidden="false" customHeight="true" outlineLevel="0" collapsed="false">
      <c r="A18" s="4" t="s">
        <v>22</v>
      </c>
    </row>
    <row r="19" customFormat="false" ht="15" hidden="false" customHeight="true" outlineLevel="0" collapsed="false">
      <c r="A19" s="8" t="s">
        <v>23</v>
      </c>
    </row>
    <row r="20" customFormat="false" ht="15" hidden="false" customHeight="true" outlineLevel="0" collapsed="false">
      <c r="A20" s="8" t="s">
        <v>24</v>
      </c>
    </row>
    <row r="21" customFormat="false" ht="15" hidden="false" customHeight="true" outlineLevel="0" collapsed="false">
      <c r="A2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6"/>
  </cols>
  <sheetData>
    <row r="1" customFormat="false" ht="17.25" hidden="false" customHeight="true" outlineLevel="0" collapsed="false">
      <c r="A1" s="9" t="s">
        <v>26</v>
      </c>
    </row>
    <row r="3" customFormat="false" ht="15" hidden="false" customHeight="true" outlineLevel="0" collapsed="false">
      <c r="A3" s="4" t="s">
        <v>27</v>
      </c>
    </row>
    <row r="4" customFormat="false" ht="15" hidden="false" customHeight="true" outlineLevel="0" collapsed="false">
      <c r="A4" s="1" t="s">
        <v>28</v>
      </c>
      <c r="B4" s="10" t="n">
        <v>2943329</v>
      </c>
      <c r="C4" s="3" t="s">
        <v>29</v>
      </c>
    </row>
    <row r="5" customFormat="false" ht="15" hidden="false" customHeight="true" outlineLevel="0" collapsed="false">
      <c r="A5" s="1" t="s">
        <v>30</v>
      </c>
      <c r="B5" s="10" t="n">
        <v>2912647</v>
      </c>
      <c r="C5" s="3" t="s">
        <v>29</v>
      </c>
    </row>
    <row r="6" customFormat="false" ht="15" hidden="false" customHeight="true" outlineLevel="0" collapsed="false">
      <c r="A6" s="1" t="s">
        <v>31</v>
      </c>
      <c r="B6" s="10" t="n">
        <v>3070988</v>
      </c>
      <c r="C6" s="3" t="s">
        <v>29</v>
      </c>
    </row>
    <row r="7" customFormat="false" ht="15" hidden="false" customHeight="true" outlineLevel="0" collapsed="false">
      <c r="A7" s="1" t="s">
        <v>32</v>
      </c>
      <c r="B7" s="10" t="n">
        <v>2912671</v>
      </c>
      <c r="C7" s="3" t="s">
        <v>29</v>
      </c>
    </row>
    <row r="8" customFormat="false" ht="15" hidden="false" customHeight="true" outlineLevel="0" collapsed="false">
      <c r="A8" s="1" t="s">
        <v>33</v>
      </c>
      <c r="B8" s="10" t="n">
        <v>-127659</v>
      </c>
      <c r="C8" s="3" t="s">
        <v>34</v>
      </c>
    </row>
    <row r="9" customFormat="false" ht="15" hidden="false" customHeight="true" outlineLevel="0" collapsed="false">
      <c r="A9" s="1" t="s">
        <v>35</v>
      </c>
      <c r="B9" s="10" t="n">
        <v>500088</v>
      </c>
      <c r="C9" s="3" t="s">
        <v>36</v>
      </c>
    </row>
    <row r="10" customFormat="false" ht="15" hidden="false" customHeight="true" outlineLevel="0" collapsed="false">
      <c r="A10" s="1" t="s">
        <v>37</v>
      </c>
      <c r="B10" s="10" t="n">
        <v>1141745</v>
      </c>
      <c r="C10" s="3" t="s">
        <v>36</v>
      </c>
    </row>
    <row r="11" customFormat="false" ht="15" hidden="false" customHeight="true" outlineLevel="0" collapsed="false">
      <c r="A11" s="1" t="s">
        <v>38</v>
      </c>
      <c r="B11" s="10" t="n">
        <v>1200000</v>
      </c>
      <c r="C11" s="3" t="s">
        <v>39</v>
      </c>
    </row>
    <row r="12" customFormat="false" ht="15" hidden="false" customHeight="true" outlineLevel="0" collapsed="false">
      <c r="A12" s="1" t="s">
        <v>40</v>
      </c>
      <c r="B12" s="5" t="s">
        <v>41</v>
      </c>
      <c r="C12" s="3" t="s">
        <v>42</v>
      </c>
    </row>
    <row r="15" customFormat="false" ht="15" hidden="false" customHeight="true" outlineLevel="0" collapsed="false">
      <c r="A15" s="4" t="s">
        <v>43</v>
      </c>
    </row>
    <row r="16" customFormat="false" ht="15" hidden="false" customHeight="true" outlineLevel="0" collapsed="false">
      <c r="A16" s="1" t="s">
        <v>44</v>
      </c>
      <c r="B16" s="11" t="n">
        <v>0.055</v>
      </c>
      <c r="C16" s="3" t="s">
        <v>45</v>
      </c>
    </row>
    <row r="17" customFormat="false" ht="15" hidden="false" customHeight="true" outlineLevel="0" collapsed="false">
      <c r="A17" s="1" t="s">
        <v>46</v>
      </c>
      <c r="B17" s="12" t="n">
        <f aca="false">B10/B9-1</f>
        <v>1.28308817648094</v>
      </c>
      <c r="C17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6"/>
  </cols>
  <sheetData>
    <row r="1" customFormat="false" ht="17.25" hidden="false" customHeight="true" outlineLevel="0" collapsed="false">
      <c r="A1" s="9" t="s">
        <v>48</v>
      </c>
    </row>
    <row r="2" customFormat="false" ht="15" hidden="false" customHeight="true" outlineLevel="0" collapsed="false">
      <c r="A2" s="3" t="s">
        <v>49</v>
      </c>
    </row>
    <row r="4" customFormat="false" ht="15" hidden="false" customHeight="true" outlineLevel="0" collapsed="false">
      <c r="A4" s="4" t="s">
        <v>50</v>
      </c>
    </row>
    <row r="5" customFormat="false" ht="15" hidden="false" customHeight="true" outlineLevel="0" collapsed="false">
      <c r="A5" s="13"/>
      <c r="B5" s="13" t="s">
        <v>51</v>
      </c>
      <c r="C5" s="13" t="s">
        <v>52</v>
      </c>
    </row>
    <row r="6" customFormat="false" ht="15" hidden="false" customHeight="true" outlineLevel="0" collapsed="false">
      <c r="A6" s="1" t="s">
        <v>53</v>
      </c>
      <c r="B6" s="14" t="n">
        <v>500088</v>
      </c>
      <c r="C6" s="14" t="n">
        <v>444633</v>
      </c>
    </row>
    <row r="7" customFormat="false" ht="15" hidden="false" customHeight="true" outlineLevel="0" collapsed="false">
      <c r="A7" s="1" t="s">
        <v>54</v>
      </c>
      <c r="B7" s="10" t="n">
        <v>0</v>
      </c>
      <c r="C7" s="14" t="n">
        <v>697112</v>
      </c>
    </row>
    <row r="8" customFormat="false" ht="15" hidden="false" customHeight="true" outlineLevel="0" collapsed="false">
      <c r="A8" s="7" t="s">
        <v>55</v>
      </c>
      <c r="B8" s="15" t="n">
        <f aca="false">SUM(B6:B7)</f>
        <v>500088</v>
      </c>
      <c r="C8" s="15" t="n">
        <f aca="false">SUM(C6:C7)</f>
        <v>1141745</v>
      </c>
    </row>
    <row r="10" customFormat="false" ht="15" hidden="false" customHeight="true" outlineLevel="0" collapsed="false">
      <c r="A10" s="1" t="s">
        <v>56</v>
      </c>
      <c r="C10" s="16" t="n">
        <f aca="false">C8/B8-1</f>
        <v>1.28308817648094</v>
      </c>
    </row>
    <row r="12" customFormat="false" ht="15" hidden="false" customHeight="true" outlineLevel="0" collapsed="false">
      <c r="A12" s="4" t="s">
        <v>57</v>
      </c>
    </row>
    <row r="13" customFormat="false" ht="15" hidden="false" customHeight="true" outlineLevel="0" collapsed="false">
      <c r="A13" s="3" t="s">
        <v>58</v>
      </c>
    </row>
    <row r="14" customFormat="false" ht="15" hidden="false" customHeight="true" outlineLevel="0" collapsed="false">
      <c r="A14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9" t="s">
        <v>60</v>
      </c>
    </row>
    <row r="2" customFormat="false" ht="15" hidden="false" customHeight="true" outlineLevel="0" collapsed="false">
      <c r="A2" s="3" t="s">
        <v>61</v>
      </c>
    </row>
    <row r="4" customFormat="false" ht="15" hidden="false" customHeight="true" outlineLevel="0" collapsed="false">
      <c r="A4" s="4" t="s">
        <v>62</v>
      </c>
    </row>
    <row r="5" customFormat="false" ht="15" hidden="false" customHeight="true" outlineLevel="0" collapsed="false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</row>
    <row r="6" customFormat="false" ht="15" hidden="false" customHeight="true" outlineLevel="0" collapsed="false">
      <c r="A6" s="1" t="s">
        <v>68</v>
      </c>
      <c r="B6" s="14" t="n">
        <v>835207</v>
      </c>
      <c r="C6" s="14" t="n">
        <v>859897</v>
      </c>
      <c r="D6" s="17" t="n">
        <f aca="false">C6-B6</f>
        <v>24690</v>
      </c>
      <c r="E6" s="12" t="n">
        <f aca="false">IFERROR(C6/B6-1, 0)</f>
        <v>0.0295615338472977</v>
      </c>
    </row>
    <row r="7" customFormat="false" ht="15" hidden="false" customHeight="true" outlineLevel="0" collapsed="false">
      <c r="A7" s="1" t="s">
        <v>69</v>
      </c>
      <c r="B7" s="14" t="n">
        <v>965429</v>
      </c>
      <c r="C7" s="14" t="n">
        <v>990837</v>
      </c>
      <c r="D7" s="17" t="n">
        <f aca="false">C7-B7</f>
        <v>25408</v>
      </c>
      <c r="E7" s="12" t="n">
        <f aca="false">IFERROR(C7/B7-1, 0)</f>
        <v>0.0263178338334564</v>
      </c>
    </row>
    <row r="8" customFormat="false" ht="15" hidden="false" customHeight="true" outlineLevel="0" collapsed="false">
      <c r="A8" s="1" t="s">
        <v>70</v>
      </c>
      <c r="B8" s="14" t="n">
        <v>252667</v>
      </c>
      <c r="C8" s="14" t="n">
        <v>288340</v>
      </c>
      <c r="D8" s="17" t="n">
        <f aca="false">C8-B8</f>
        <v>35673</v>
      </c>
      <c r="E8" s="12" t="n">
        <f aca="false">IFERROR(C8/B8-1, 0)</f>
        <v>0.141185829570146</v>
      </c>
    </row>
    <row r="9" customFormat="false" ht="15" hidden="false" customHeight="true" outlineLevel="0" collapsed="false">
      <c r="A9" s="1" t="s">
        <v>71</v>
      </c>
      <c r="B9" s="14" t="n">
        <v>224112</v>
      </c>
      <c r="C9" s="14" t="n">
        <v>240356</v>
      </c>
      <c r="D9" s="17" t="n">
        <f aca="false">C9-B9</f>
        <v>16244</v>
      </c>
      <c r="E9" s="12" t="n">
        <f aca="false">IFERROR(C9/B9-1, 0)</f>
        <v>0.0724816163346898</v>
      </c>
    </row>
    <row r="10" customFormat="false" ht="15" hidden="false" customHeight="true" outlineLevel="0" collapsed="false">
      <c r="A10" s="1" t="s">
        <v>72</v>
      </c>
      <c r="B10" s="14" t="n">
        <v>216955</v>
      </c>
      <c r="C10" s="14" t="n">
        <v>199362</v>
      </c>
      <c r="D10" s="17" t="n">
        <f aca="false">C10-B10</f>
        <v>-17593</v>
      </c>
      <c r="E10" s="12" t="n">
        <f aca="false">IFERROR(C10/B10-1, 0)</f>
        <v>-0.0810905487313037</v>
      </c>
    </row>
    <row r="11" customFormat="false" ht="15" hidden="false" customHeight="true" outlineLevel="0" collapsed="false">
      <c r="A11" s="1" t="s">
        <v>73</v>
      </c>
      <c r="B11" s="14" t="n">
        <v>184200</v>
      </c>
      <c r="C11" s="14" t="n">
        <v>183697</v>
      </c>
      <c r="D11" s="17" t="n">
        <f aca="false">C11-B11</f>
        <v>-503</v>
      </c>
      <c r="E11" s="12" t="n">
        <f aca="false">IFERROR(C11/B11-1, 0)</f>
        <v>-0.00273072747014114</v>
      </c>
    </row>
    <row r="12" customFormat="false" ht="15" hidden="false" customHeight="true" outlineLevel="0" collapsed="false">
      <c r="A12" s="1" t="s">
        <v>74</v>
      </c>
      <c r="B12" s="14" t="n">
        <v>49891</v>
      </c>
      <c r="C12" s="14" t="n">
        <v>52104</v>
      </c>
      <c r="D12" s="17" t="n">
        <f aca="false">C12-B12</f>
        <v>2213</v>
      </c>
      <c r="E12" s="12" t="n">
        <f aca="false">IFERROR(C12/B12-1, 0)</f>
        <v>0.0443566976007697</v>
      </c>
    </row>
    <row r="13" customFormat="false" ht="15" hidden="false" customHeight="true" outlineLevel="0" collapsed="false">
      <c r="A13" s="7" t="s">
        <v>75</v>
      </c>
      <c r="B13" s="15" t="n">
        <f aca="false">SUM(B6:B12)</f>
        <v>2728461</v>
      </c>
      <c r="C13" s="15" t="n">
        <f aca="false">SUM(C6:C12)</f>
        <v>2814593</v>
      </c>
      <c r="D13" s="18" t="n">
        <f aca="false">C13-B13</f>
        <v>86132</v>
      </c>
      <c r="E13" s="12" t="n">
        <f aca="false">C13/B13-1</f>
        <v>0.0315679791648111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9" t="s">
        <v>76</v>
      </c>
    </row>
    <row r="2" customFormat="false" ht="15" hidden="false" customHeight="true" outlineLevel="0" collapsed="false">
      <c r="A2" s="3" t="s">
        <v>77</v>
      </c>
    </row>
    <row r="4" customFormat="false" ht="15" hidden="false" customHeight="true" outlineLevel="0" collapsed="false">
      <c r="A4" s="4" t="s">
        <v>78</v>
      </c>
    </row>
    <row r="5" customFormat="false" ht="15" hidden="false" customHeight="true" outlineLevel="0" collapsed="false">
      <c r="A5" s="13" t="s">
        <v>79</v>
      </c>
      <c r="B5" s="13" t="s">
        <v>80</v>
      </c>
      <c r="C5" s="13" t="s">
        <v>81</v>
      </c>
    </row>
    <row r="6" customFormat="false" ht="15" hidden="false" customHeight="true" outlineLevel="0" collapsed="false">
      <c r="A6" s="19" t="n">
        <v>2015</v>
      </c>
      <c r="B6" s="20" t="n">
        <v>23.88</v>
      </c>
      <c r="C6" s="11" t="n">
        <v>0.0496</v>
      </c>
    </row>
    <row r="7" customFormat="false" ht="15" hidden="false" customHeight="true" outlineLevel="0" collapsed="false">
      <c r="A7" s="19" t="n">
        <v>2016</v>
      </c>
      <c r="B7" s="20" t="n">
        <v>25.08</v>
      </c>
      <c r="C7" s="11" t="n">
        <v>0.0503</v>
      </c>
    </row>
    <row r="8" customFormat="false" ht="15" hidden="false" customHeight="true" outlineLevel="0" collapsed="false">
      <c r="A8" s="19" t="n">
        <v>2017</v>
      </c>
      <c r="B8" s="20" t="n">
        <v>26.33</v>
      </c>
      <c r="C8" s="11" t="n">
        <v>0.05</v>
      </c>
    </row>
    <row r="9" customFormat="false" ht="15" hidden="false" customHeight="true" outlineLevel="0" collapsed="false">
      <c r="A9" s="19" t="n">
        <v>2018</v>
      </c>
      <c r="B9" s="20" t="n">
        <v>27.6</v>
      </c>
      <c r="C9" s="11" t="n">
        <v>0.0481</v>
      </c>
    </row>
    <row r="10" customFormat="false" ht="15" hidden="false" customHeight="true" outlineLevel="0" collapsed="false">
      <c r="A10" s="19" t="n">
        <v>2019</v>
      </c>
      <c r="B10" s="20" t="n">
        <v>28.57</v>
      </c>
      <c r="C10" s="11" t="n">
        <v>0.035</v>
      </c>
    </row>
    <row r="11" customFormat="false" ht="15" hidden="false" customHeight="true" outlineLevel="0" collapsed="false">
      <c r="A11" s="19" t="n">
        <v>2020</v>
      </c>
      <c r="B11" s="20" t="n">
        <v>30.12</v>
      </c>
      <c r="C11" s="11" t="n">
        <v>0.0544</v>
      </c>
    </row>
    <row r="12" customFormat="false" ht="15" hidden="false" customHeight="true" outlineLevel="0" collapsed="false">
      <c r="A12" s="19" t="n">
        <v>2021</v>
      </c>
      <c r="B12" s="20" t="n">
        <v>31.2</v>
      </c>
      <c r="C12" s="11" t="n">
        <v>0.0359</v>
      </c>
    </row>
    <row r="13" customFormat="false" ht="15" hidden="false" customHeight="true" outlineLevel="0" collapsed="false">
      <c r="A13" s="19" t="n">
        <v>2022</v>
      </c>
      <c r="B13" s="20" t="n">
        <v>36.32</v>
      </c>
      <c r="C13" s="11" t="n">
        <v>0.1642</v>
      </c>
    </row>
    <row r="14" customFormat="false" ht="15" hidden="false" customHeight="true" outlineLevel="0" collapsed="false">
      <c r="A14" s="19" t="n">
        <v>2023</v>
      </c>
      <c r="B14" s="20" t="n">
        <v>38.12</v>
      </c>
      <c r="C14" s="11" t="n">
        <v>0.0495</v>
      </c>
    </row>
    <row r="15" customFormat="false" ht="15" hidden="false" customHeight="true" outlineLevel="0" collapsed="false">
      <c r="A15" s="19" t="n">
        <v>2024</v>
      </c>
      <c r="B15" s="20" t="n">
        <v>40.03</v>
      </c>
      <c r="C15" s="11" t="n">
        <v>0.0502</v>
      </c>
    </row>
    <row r="16" customFormat="false" ht="15" hidden="false" customHeight="true" outlineLevel="0" collapsed="false">
      <c r="A16" s="19" t="n">
        <v>2025</v>
      </c>
      <c r="B16" s="20" t="n">
        <v>40.42</v>
      </c>
      <c r="C16" s="11" t="n">
        <v>0.0095</v>
      </c>
    </row>
    <row r="17" customFormat="false" ht="15" hidden="false" customHeight="true" outlineLevel="0" collapsed="false">
      <c r="A17" s="19" t="n">
        <v>2026</v>
      </c>
      <c r="B17" s="20" t="n">
        <v>42.64</v>
      </c>
      <c r="C17" s="11" t="n">
        <v>0.055</v>
      </c>
    </row>
    <row r="19" customFormat="false" ht="15" hidden="false" customHeight="true" outlineLevel="0" collapsed="false">
      <c r="A19" s="7" t="s">
        <v>82</v>
      </c>
      <c r="C19" s="12" t="n">
        <f aca="false">AVERAGE(C6:C15)</f>
        <v>0.05872</v>
      </c>
    </row>
    <row r="22" customFormat="false" ht="15" hidden="false" customHeight="true" outlineLevel="0" collapsed="false">
      <c r="A22" s="4" t="s">
        <v>83</v>
      </c>
    </row>
    <row r="23" customFormat="false" ht="15" hidden="false" customHeight="true" outlineLevel="0" collapsed="false">
      <c r="A23" s="13" t="s">
        <v>84</v>
      </c>
      <c r="B23" s="13" t="s">
        <v>85</v>
      </c>
      <c r="C23" s="13" t="s">
        <v>86</v>
      </c>
      <c r="D23" s="13" t="s">
        <v>87</v>
      </c>
      <c r="E23" s="13" t="s">
        <v>88</v>
      </c>
    </row>
    <row r="24" customFormat="false" ht="15" hidden="false" customHeight="true" outlineLevel="0" collapsed="false">
      <c r="A24" s="7" t="s">
        <v>89</v>
      </c>
      <c r="B24" s="14" t="n">
        <v>113196</v>
      </c>
      <c r="C24" s="14" t="n">
        <v>157565</v>
      </c>
      <c r="D24" s="12" t="n">
        <f aca="false">C24/B24-1</f>
        <v>0.391966147213682</v>
      </c>
      <c r="E24" s="21" t="s">
        <v>90</v>
      </c>
    </row>
    <row r="25" customFormat="false" ht="15" hidden="false" customHeight="true" outlineLevel="0" collapsed="false">
      <c r="A25" s="7" t="s">
        <v>91</v>
      </c>
      <c r="B25" s="14" t="n">
        <v>866437</v>
      </c>
      <c r="C25" s="14" t="n">
        <v>913118</v>
      </c>
      <c r="D25" s="12" t="n">
        <f aca="false">C25/B25-1</f>
        <v>0.0538769697046639</v>
      </c>
      <c r="E25" s="21" t="s">
        <v>92</v>
      </c>
    </row>
    <row r="26" customFormat="false" ht="15" hidden="false" customHeight="true" outlineLevel="0" collapsed="false">
      <c r="A26" s="7" t="s">
        <v>69</v>
      </c>
      <c r="B26" s="14" t="n">
        <v>998366</v>
      </c>
      <c r="C26" s="14" t="n">
        <v>1010878</v>
      </c>
      <c r="D26" s="12" t="n">
        <f aca="false">C26/B26-1</f>
        <v>0.0125324780691649</v>
      </c>
      <c r="E26" s="2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3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9" t="s">
        <v>94</v>
      </c>
    </row>
    <row r="2" customFormat="false" ht="15" hidden="false" customHeight="true" outlineLevel="0" collapsed="false">
      <c r="A2" s="3" t="s">
        <v>95</v>
      </c>
    </row>
    <row r="4" customFormat="false" ht="15" hidden="false" customHeight="true" outlineLevel="0" collapsed="false">
      <c r="A4" s="4" t="s">
        <v>96</v>
      </c>
    </row>
    <row r="5" customFormat="false" ht="15" hidden="false" customHeight="true" outlineLevel="0" collapsed="false">
      <c r="A5" s="13" t="s">
        <v>97</v>
      </c>
      <c r="B5" s="13" t="s">
        <v>98</v>
      </c>
      <c r="C5" s="13" t="s">
        <v>99</v>
      </c>
      <c r="D5" s="13" t="s">
        <v>100</v>
      </c>
      <c r="E5" s="13" t="s">
        <v>101</v>
      </c>
      <c r="F5" s="13" t="s">
        <v>102</v>
      </c>
      <c r="G5" s="13" t="s">
        <v>63</v>
      </c>
    </row>
    <row r="6" customFormat="false" ht="15" hidden="false" customHeight="true" outlineLevel="0" collapsed="false">
      <c r="A6" s="1" t="s">
        <v>103</v>
      </c>
      <c r="B6" s="10" t="n">
        <v>25000</v>
      </c>
      <c r="C6" s="10" t="n">
        <v>0</v>
      </c>
      <c r="D6" s="10" t="n">
        <v>0</v>
      </c>
      <c r="E6" s="10" t="n">
        <v>0</v>
      </c>
      <c r="F6" s="10" t="n">
        <v>0</v>
      </c>
      <c r="G6" s="22" t="s">
        <v>104</v>
      </c>
    </row>
    <row r="7" customFormat="false" ht="15" hidden="false" customHeight="true" outlineLevel="0" collapsed="false">
      <c r="A7" s="1" t="s">
        <v>105</v>
      </c>
      <c r="B7" s="10" t="n">
        <v>35000</v>
      </c>
      <c r="C7" s="10" t="n">
        <v>0</v>
      </c>
      <c r="D7" s="10" t="n">
        <v>0</v>
      </c>
      <c r="E7" s="10" t="n">
        <v>0</v>
      </c>
      <c r="F7" s="10" t="n">
        <v>0</v>
      </c>
      <c r="G7" s="22" t="s">
        <v>106</v>
      </c>
    </row>
    <row r="8" customFormat="false" ht="15" hidden="false" customHeight="true" outlineLevel="0" collapsed="false">
      <c r="A8" s="1" t="s">
        <v>107</v>
      </c>
      <c r="B8" s="10" t="n">
        <v>25000</v>
      </c>
      <c r="C8" s="10" t="n">
        <v>0</v>
      </c>
      <c r="D8" s="10" t="n">
        <v>0</v>
      </c>
      <c r="E8" s="10" t="n">
        <v>0</v>
      </c>
      <c r="F8" s="10" t="n">
        <v>0</v>
      </c>
      <c r="G8" s="22" t="s">
        <v>108</v>
      </c>
    </row>
    <row r="9" customFormat="false" ht="15" hidden="false" customHeight="true" outlineLevel="0" collapsed="false">
      <c r="A9" s="1" t="s">
        <v>109</v>
      </c>
      <c r="B9" s="10" t="n">
        <v>44000</v>
      </c>
      <c r="C9" s="10" t="n">
        <v>0</v>
      </c>
      <c r="D9" s="10" t="n">
        <v>0</v>
      </c>
      <c r="E9" s="10" t="n">
        <v>0</v>
      </c>
      <c r="F9" s="10" t="n">
        <v>0</v>
      </c>
      <c r="G9" s="22" t="s">
        <v>110</v>
      </c>
    </row>
    <row r="10" customFormat="false" ht="15" hidden="false" customHeight="true" outlineLevel="0" collapsed="false">
      <c r="A10" s="1" t="s">
        <v>111</v>
      </c>
      <c r="B10" s="10" t="n">
        <v>500000</v>
      </c>
      <c r="C10" s="10" t="n">
        <v>500000</v>
      </c>
      <c r="D10" s="10" t="n">
        <v>0</v>
      </c>
      <c r="E10" s="10" t="n">
        <v>0</v>
      </c>
      <c r="F10" s="10" t="n">
        <v>0</v>
      </c>
      <c r="G10" s="22" t="s">
        <v>112</v>
      </c>
    </row>
    <row r="11" customFormat="false" ht="15" hidden="false" customHeight="true" outlineLevel="0" collapsed="false">
      <c r="A11" s="1" t="s">
        <v>113</v>
      </c>
      <c r="B11" s="10" t="n">
        <v>0</v>
      </c>
      <c r="C11" s="10" t="n">
        <v>0</v>
      </c>
      <c r="D11" s="10" t="n">
        <v>0</v>
      </c>
      <c r="E11" s="10" t="n">
        <v>50000</v>
      </c>
      <c r="F11" s="10" t="n">
        <v>0</v>
      </c>
      <c r="G11" s="22" t="s">
        <v>114</v>
      </c>
    </row>
    <row r="12" customFormat="false" ht="15" hidden="false" customHeight="true" outlineLevel="0" collapsed="false">
      <c r="A12" s="1" t="s">
        <v>115</v>
      </c>
      <c r="B12" s="10" t="n">
        <v>0</v>
      </c>
      <c r="C12" s="10" t="n">
        <v>0</v>
      </c>
      <c r="D12" s="10" t="n">
        <v>0</v>
      </c>
      <c r="E12" s="10" t="n">
        <v>150000</v>
      </c>
      <c r="F12" s="10" t="n">
        <v>0</v>
      </c>
      <c r="G12" s="22" t="s">
        <v>114</v>
      </c>
    </row>
    <row r="13" customFormat="false" ht="15" hidden="false" customHeight="true" outlineLevel="0" collapsed="false">
      <c r="A13" s="1" t="s">
        <v>116</v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100000</v>
      </c>
      <c r="G13" s="22" t="s">
        <v>116</v>
      </c>
    </row>
    <row r="14" customFormat="false" ht="15" hidden="false" customHeight="true" outlineLevel="0" collapsed="false">
      <c r="A14" s="1" t="s">
        <v>117</v>
      </c>
      <c r="B14" s="10" t="n">
        <v>0</v>
      </c>
      <c r="C14" s="10" t="n">
        <v>0</v>
      </c>
      <c r="D14" s="10" t="n">
        <v>0</v>
      </c>
      <c r="E14" s="10" t="n">
        <v>0</v>
      </c>
      <c r="F14" s="10" t="n">
        <v>12976</v>
      </c>
      <c r="G14" s="22" t="s">
        <v>104</v>
      </c>
    </row>
    <row r="15" customFormat="false" ht="15" hidden="false" customHeight="true" outlineLevel="0" collapsed="false">
      <c r="A15" s="1" t="s">
        <v>118</v>
      </c>
      <c r="B15" s="10" t="n">
        <v>75000</v>
      </c>
      <c r="C15" s="10" t="n">
        <v>150000</v>
      </c>
      <c r="D15" s="10" t="n">
        <v>150000</v>
      </c>
      <c r="E15" s="10" t="n">
        <v>150000</v>
      </c>
      <c r="F15" s="10" t="n">
        <v>150000</v>
      </c>
      <c r="G15" s="22" t="s">
        <v>119</v>
      </c>
    </row>
    <row r="16" customFormat="false" ht="15" hidden="false" customHeight="true" outlineLevel="0" collapsed="false">
      <c r="A16" s="7" t="s">
        <v>120</v>
      </c>
      <c r="B16" s="15" t="n">
        <f aca="false">SUM(B6:B15)</f>
        <v>704000</v>
      </c>
      <c r="C16" s="15" t="n">
        <f aca="false">SUM(C6:C15)</f>
        <v>650000</v>
      </c>
      <c r="D16" s="15" t="n">
        <f aca="false">SUM(D6:D15)</f>
        <v>150000</v>
      </c>
      <c r="E16" s="15" t="n">
        <f aca="false">SUM(E6:E15)</f>
        <v>350000</v>
      </c>
      <c r="F16" s="15" t="n">
        <f aca="false">SUM(F6:F15)</f>
        <v>262976</v>
      </c>
    </row>
    <row r="20" customFormat="false" ht="15" hidden="false" customHeight="true" outlineLevel="0" collapsed="false">
      <c r="A20" s="4" t="s">
        <v>121</v>
      </c>
    </row>
    <row r="21" customFormat="false" ht="15" hidden="false" customHeight="true" outlineLevel="0" collapsed="false">
      <c r="A21" s="13" t="s">
        <v>63</v>
      </c>
      <c r="B21" s="13" t="s">
        <v>98</v>
      </c>
      <c r="C21" s="13" t="s">
        <v>99</v>
      </c>
      <c r="D21" s="13" t="s">
        <v>100</v>
      </c>
      <c r="E21" s="13" t="s">
        <v>101</v>
      </c>
      <c r="F21" s="13" t="s">
        <v>102</v>
      </c>
    </row>
    <row r="22" customFormat="false" ht="15" hidden="false" customHeight="true" outlineLevel="0" collapsed="false">
      <c r="A22" s="7" t="s">
        <v>104</v>
      </c>
      <c r="B22" s="17" t="n">
        <f aca="false">SUMIF($G$6:$G$15,$A22,B$6:B$15)</f>
        <v>25000</v>
      </c>
      <c r="C22" s="17" t="n">
        <f aca="false">SUMIF($G$6:$G$15,$A22,C$6:C$15)</f>
        <v>0</v>
      </c>
      <c r="D22" s="17" t="n">
        <f aca="false">SUMIF($G$6:$G$15,$A22,D$6:D$15)</f>
        <v>0</v>
      </c>
      <c r="E22" s="17" t="n">
        <f aca="false">SUMIF($G$6:$G$15,$A22,E$6:E$15)</f>
        <v>0</v>
      </c>
      <c r="F22" s="17" t="n">
        <f aca="false">SUMIF($G$6:$G$15,$A22,F$6:F$15)</f>
        <v>12976</v>
      </c>
    </row>
    <row r="23" customFormat="false" ht="15" hidden="false" customHeight="true" outlineLevel="0" collapsed="false">
      <c r="A23" s="7" t="s">
        <v>106</v>
      </c>
      <c r="B23" s="17" t="n">
        <f aca="false">SUMIF($G$6:$G$15,$A23,B$6:B$15)</f>
        <v>35000</v>
      </c>
      <c r="C23" s="17" t="n">
        <f aca="false">SUMIF($G$6:$G$15,$A23,C$6:C$15)</f>
        <v>0</v>
      </c>
      <c r="D23" s="17" t="n">
        <f aca="false">SUMIF($G$6:$G$15,$A23,D$6:D$15)</f>
        <v>0</v>
      </c>
      <c r="E23" s="17" t="n">
        <f aca="false">SUMIF($G$6:$G$15,$A23,E$6:E$15)</f>
        <v>0</v>
      </c>
      <c r="F23" s="17" t="n">
        <f aca="false">SUMIF($G$6:$G$15,$A23,F$6:F$15)</f>
        <v>0</v>
      </c>
    </row>
    <row r="24" customFormat="false" ht="15" hidden="false" customHeight="true" outlineLevel="0" collapsed="false">
      <c r="A24" s="7" t="s">
        <v>108</v>
      </c>
      <c r="B24" s="17" t="n">
        <f aca="false">SUMIF($G$6:$G$15,$A24,B$6:B$15)</f>
        <v>25000</v>
      </c>
      <c r="C24" s="17" t="n">
        <f aca="false">SUMIF($G$6:$G$15,$A24,C$6:C$15)</f>
        <v>0</v>
      </c>
      <c r="D24" s="17" t="n">
        <f aca="false">SUMIF($G$6:$G$15,$A24,D$6:D$15)</f>
        <v>0</v>
      </c>
      <c r="E24" s="17" t="n">
        <f aca="false">SUMIF($G$6:$G$15,$A24,E$6:E$15)</f>
        <v>0</v>
      </c>
      <c r="F24" s="17" t="n">
        <f aca="false">SUMIF($G$6:$G$15,$A24,F$6:F$15)</f>
        <v>0</v>
      </c>
    </row>
    <row r="25" customFormat="false" ht="15" hidden="false" customHeight="true" outlineLevel="0" collapsed="false">
      <c r="A25" s="7" t="s">
        <v>110</v>
      </c>
      <c r="B25" s="17" t="n">
        <f aca="false">SUMIF($G$6:$G$15,$A25,B$6:B$15)</f>
        <v>44000</v>
      </c>
      <c r="C25" s="17" t="n">
        <f aca="false">SUMIF($G$6:$G$15,$A25,C$6:C$15)</f>
        <v>0</v>
      </c>
      <c r="D25" s="17" t="n">
        <f aca="false">SUMIF($G$6:$G$15,$A25,D$6:D$15)</f>
        <v>0</v>
      </c>
      <c r="E25" s="17" t="n">
        <f aca="false">SUMIF($G$6:$G$15,$A25,E$6:E$15)</f>
        <v>0</v>
      </c>
      <c r="F25" s="17" t="n">
        <f aca="false">SUMIF($G$6:$G$15,$A25,F$6:F$15)</f>
        <v>0</v>
      </c>
    </row>
    <row r="26" customFormat="false" ht="15" hidden="false" customHeight="true" outlineLevel="0" collapsed="false">
      <c r="A26" s="7" t="s">
        <v>112</v>
      </c>
      <c r="B26" s="17" t="n">
        <f aca="false">SUMIF($G$6:$G$15,$A26,B$6:B$15)</f>
        <v>500000</v>
      </c>
      <c r="C26" s="17" t="n">
        <f aca="false">SUMIF($G$6:$G$15,$A26,C$6:C$15)</f>
        <v>500000</v>
      </c>
      <c r="D26" s="17" t="n">
        <f aca="false">SUMIF($G$6:$G$15,$A26,D$6:D$15)</f>
        <v>0</v>
      </c>
      <c r="E26" s="17" t="n">
        <f aca="false">SUMIF($G$6:$G$15,$A26,E$6:E$15)</f>
        <v>0</v>
      </c>
      <c r="F26" s="17" t="n">
        <f aca="false">SUMIF($G$6:$G$15,$A26,F$6:F$15)</f>
        <v>0</v>
      </c>
    </row>
    <row r="27" customFormat="false" ht="15" hidden="false" customHeight="true" outlineLevel="0" collapsed="false">
      <c r="A27" s="7" t="s">
        <v>114</v>
      </c>
      <c r="B27" s="17" t="n">
        <f aca="false">SUMIF($G$6:$G$15,$A27,B$6:B$15)</f>
        <v>0</v>
      </c>
      <c r="C27" s="17" t="n">
        <f aca="false">SUMIF($G$6:$G$15,$A27,C$6:C$15)</f>
        <v>0</v>
      </c>
      <c r="D27" s="17" t="n">
        <f aca="false">SUMIF($G$6:$G$15,$A27,D$6:D$15)</f>
        <v>0</v>
      </c>
      <c r="E27" s="17" t="n">
        <f aca="false">SUMIF($G$6:$G$15,$A27,E$6:E$15)</f>
        <v>200000</v>
      </c>
      <c r="F27" s="17" t="n">
        <f aca="false">SUMIF($G$6:$G$15,$A27,F$6:F$15)</f>
        <v>0</v>
      </c>
    </row>
    <row r="28" customFormat="false" ht="15" hidden="false" customHeight="true" outlineLevel="0" collapsed="false">
      <c r="A28" s="7" t="s">
        <v>116</v>
      </c>
      <c r="B28" s="17" t="n">
        <f aca="false">SUMIF($G$6:$G$15,$A28,B$6:B$15)</f>
        <v>0</v>
      </c>
      <c r="C28" s="17" t="n">
        <f aca="false">SUMIF($G$6:$G$15,$A28,C$6:C$15)</f>
        <v>0</v>
      </c>
      <c r="D28" s="17" t="n">
        <f aca="false">SUMIF($G$6:$G$15,$A28,D$6:D$15)</f>
        <v>0</v>
      </c>
      <c r="E28" s="17" t="n">
        <f aca="false">SUMIF($G$6:$G$15,$A28,E$6:E$15)</f>
        <v>0</v>
      </c>
      <c r="F28" s="17" t="n">
        <f aca="false">SUMIF($G$6:$G$15,$A28,F$6:F$15)</f>
        <v>100000</v>
      </c>
    </row>
    <row r="29" customFormat="false" ht="15" hidden="false" customHeight="true" outlineLevel="0" collapsed="false">
      <c r="A29" s="7" t="s">
        <v>119</v>
      </c>
      <c r="B29" s="17" t="n">
        <f aca="false">SUMIF($G$6:$G$15,$A29,B$6:B$15)</f>
        <v>75000</v>
      </c>
      <c r="C29" s="17" t="n">
        <f aca="false">SUMIF($G$6:$G$15,$A29,C$6:C$15)</f>
        <v>150000</v>
      </c>
      <c r="D29" s="17" t="n">
        <f aca="false">SUMIF($G$6:$G$15,$A29,D$6:D$15)</f>
        <v>150000</v>
      </c>
      <c r="E29" s="17" t="n">
        <f aca="false">SUMIF($G$6:$G$15,$A29,E$6:E$15)</f>
        <v>150000</v>
      </c>
      <c r="F29" s="17" t="n">
        <f aca="false">SUMIF($G$6:$G$15,$A29,F$6:F$15)</f>
        <v>150000</v>
      </c>
    </row>
    <row r="32" customFormat="false" ht="15" hidden="false" customHeight="true" outlineLevel="0" collapsed="false">
      <c r="A32" s="4" t="s">
        <v>122</v>
      </c>
    </row>
    <row r="33" customFormat="false" ht="15" hidden="false" customHeight="true" outlineLevel="0" collapsed="false">
      <c r="A33" s="1" t="s">
        <v>123</v>
      </c>
      <c r="B33" s="14" t="n">
        <v>300000</v>
      </c>
    </row>
    <row r="34" customFormat="false" ht="15" hidden="false" customHeight="true" outlineLevel="0" collapsed="false">
      <c r="A34" s="1" t="s">
        <v>124</v>
      </c>
      <c r="B34" s="14" t="n">
        <v>35000</v>
      </c>
    </row>
    <row r="35" customFormat="false" ht="15" hidden="false" customHeight="true" outlineLevel="0" collapsed="false">
      <c r="A35" s="1" t="s">
        <v>125</v>
      </c>
      <c r="B35" s="23" t="n">
        <f aca="false">B33-B34</f>
        <v>265000</v>
      </c>
    </row>
    <row r="37" customFormat="false" ht="15" hidden="false" customHeight="true" outlineLevel="0" collapsed="false">
      <c r="A37" s="4" t="s">
        <v>126</v>
      </c>
    </row>
    <row r="38" customFormat="false" ht="15" hidden="false" customHeight="true" outlineLevel="0" collapsed="false">
      <c r="A38" s="1" t="s">
        <v>127</v>
      </c>
      <c r="B38" s="5" t="s">
        <v>128</v>
      </c>
    </row>
    <row r="39" customFormat="false" ht="15" hidden="false" customHeight="true" outlineLevel="0" collapsed="false">
      <c r="A39" s="1" t="s">
        <v>129</v>
      </c>
      <c r="B39" s="5" t="s">
        <v>130</v>
      </c>
    </row>
    <row r="40" customFormat="false" ht="15" hidden="false" customHeight="true" outlineLevel="0" collapsed="false">
      <c r="A40" s="1" t="s">
        <v>131</v>
      </c>
      <c r="B40" s="5" t="s">
        <v>132</v>
      </c>
    </row>
    <row r="41" customFormat="false" ht="15" hidden="false" customHeight="true" outlineLevel="0" collapsed="false">
      <c r="A41" s="1" t="s">
        <v>133</v>
      </c>
      <c r="B41" s="24" t="n">
        <f aca="false">B10+C10</f>
        <v>1000000</v>
      </c>
      <c r="C41" s="3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9" t="s">
        <v>135</v>
      </c>
    </row>
    <row r="2" customFormat="false" ht="15" hidden="false" customHeight="true" outlineLevel="0" collapsed="false">
      <c r="A2" s="3" t="s">
        <v>136</v>
      </c>
    </row>
    <row r="4" customFormat="false" ht="15" hidden="false" customHeight="true" outlineLevel="0" collapsed="false">
      <c r="A4" s="4" t="s">
        <v>137</v>
      </c>
    </row>
    <row r="5" customFormat="false" ht="15" hidden="false" customHeight="true" outlineLevel="0" collapsed="false">
      <c r="A5" s="1" t="s">
        <v>138</v>
      </c>
      <c r="B5" s="25" t="n">
        <v>1141745</v>
      </c>
    </row>
    <row r="6" customFormat="false" ht="15" hidden="false" customHeight="true" outlineLevel="0" collapsed="false">
      <c r="A6" s="1" t="s">
        <v>139</v>
      </c>
      <c r="B6" s="25" t="n">
        <v>262500</v>
      </c>
    </row>
    <row r="7" customFormat="false" ht="15" hidden="false" customHeight="true" outlineLevel="0" collapsed="false">
      <c r="A7" s="1" t="s">
        <v>140</v>
      </c>
      <c r="B7" s="26" t="n">
        <v>0.05</v>
      </c>
    </row>
    <row r="8" customFormat="false" ht="15" hidden="false" customHeight="true" outlineLevel="0" collapsed="false">
      <c r="A8" s="1" t="s">
        <v>141</v>
      </c>
      <c r="B8" s="25" t="n">
        <v>562862</v>
      </c>
    </row>
    <row r="9" customFormat="false" ht="15" hidden="false" customHeight="true" outlineLevel="0" collapsed="false">
      <c r="A9" s="1" t="s">
        <v>142</v>
      </c>
      <c r="B9" s="26" t="n">
        <v>0.05</v>
      </c>
    </row>
    <row r="11" customFormat="false" ht="15" hidden="false" customHeight="true" outlineLevel="0" collapsed="false">
      <c r="A11" s="4" t="s">
        <v>143</v>
      </c>
    </row>
    <row r="12" customFormat="false" ht="15" hidden="false" customHeight="true" outlineLevel="0" collapsed="false">
      <c r="A12" s="13"/>
      <c r="B12" s="13" t="s">
        <v>98</v>
      </c>
      <c r="C12" s="13" t="s">
        <v>99</v>
      </c>
      <c r="D12" s="13" t="s">
        <v>100</v>
      </c>
      <c r="E12" s="13" t="s">
        <v>101</v>
      </c>
      <c r="F12" s="13" t="s">
        <v>102</v>
      </c>
    </row>
    <row r="13" customFormat="false" ht="15" hidden="false" customHeight="true" outlineLevel="0" collapsed="false">
      <c r="A13" s="1" t="s">
        <v>144</v>
      </c>
      <c r="B13" s="27" t="n">
        <f aca="false">B5</f>
        <v>1141745</v>
      </c>
      <c r="C13" s="27" t="n">
        <f aca="false">B20</f>
        <v>887462</v>
      </c>
      <c r="D13" s="27" t="n">
        <f aca="false">C20</f>
        <v>544405</v>
      </c>
      <c r="E13" s="27" t="n">
        <f aca="false">D20</f>
        <v>684983.25</v>
      </c>
      <c r="F13" s="27" t="n">
        <f aca="false">E20</f>
        <v>638859.8125</v>
      </c>
    </row>
    <row r="14" customFormat="false" ht="15" hidden="false" customHeight="true" outlineLevel="0" collapsed="false">
      <c r="A14" s="1" t="s">
        <v>145</v>
      </c>
      <c r="B14" s="10" t="n">
        <v>187217</v>
      </c>
      <c r="C14" s="10" t="n">
        <v>31318</v>
      </c>
      <c r="D14" s="10" t="n">
        <v>1172</v>
      </c>
      <c r="E14" s="10" t="n">
        <v>0</v>
      </c>
      <c r="F14" s="10" t="n">
        <v>0</v>
      </c>
    </row>
    <row r="15" customFormat="false" ht="15" hidden="false" customHeight="true" outlineLevel="0" collapsed="false">
      <c r="A15" s="1" t="s">
        <v>146</v>
      </c>
      <c r="B15" s="27" t="n">
        <f aca="false">B6</f>
        <v>262500</v>
      </c>
      <c r="C15" s="27" t="n">
        <f aca="false">B15*(1+$B$7)</f>
        <v>275625</v>
      </c>
      <c r="D15" s="27" t="n">
        <f aca="false">C15*(1+$B$7)</f>
        <v>289406.25</v>
      </c>
      <c r="E15" s="27" t="n">
        <f aca="false">D15*(1+$B$7)</f>
        <v>303876.5625</v>
      </c>
      <c r="F15" s="27" t="n">
        <f aca="false">E15*(1+$B$7)</f>
        <v>319070.390625</v>
      </c>
    </row>
    <row r="16" customFormat="false" ht="15" hidden="false" customHeight="true" outlineLevel="0" collapsed="false">
      <c r="A16" s="7" t="s">
        <v>147</v>
      </c>
      <c r="B16" s="27" t="n">
        <f aca="false">SUM(B14:B15)</f>
        <v>449717</v>
      </c>
      <c r="C16" s="27" t="n">
        <f aca="false">SUM(C14:C15)</f>
        <v>306943</v>
      </c>
      <c r="D16" s="27" t="n">
        <f aca="false">SUM(D14:D15)</f>
        <v>290578.25</v>
      </c>
      <c r="E16" s="27" t="n">
        <f aca="false">SUM(E14:E15)</f>
        <v>303876.5625</v>
      </c>
      <c r="F16" s="27" t="n">
        <f aca="false">SUM(F14:F15)</f>
        <v>319070.390625</v>
      </c>
    </row>
    <row r="17" customFormat="false" ht="15" hidden="false" customHeight="true" outlineLevel="0" collapsed="false">
      <c r="A17" s="1" t="s">
        <v>148</v>
      </c>
      <c r="B17" s="10" t="n">
        <v>-704000</v>
      </c>
      <c r="C17" s="10" t="n">
        <v>-650000</v>
      </c>
      <c r="D17" s="10" t="n">
        <v>-150000</v>
      </c>
      <c r="E17" s="10" t="n">
        <v>-350000</v>
      </c>
      <c r="F17" s="10" t="n">
        <v>-262976</v>
      </c>
    </row>
    <row r="18" customFormat="false" ht="15" hidden="false" customHeight="true" outlineLevel="0" collapsed="false">
      <c r="A18" s="7" t="s">
        <v>149</v>
      </c>
      <c r="B18" s="17" t="n">
        <f aca="false">B16+B17</f>
        <v>-254283</v>
      </c>
      <c r="C18" s="17" t="n">
        <f aca="false">C16+C17</f>
        <v>-343057</v>
      </c>
      <c r="D18" s="17" t="n">
        <f aca="false">D16+D17</f>
        <v>140578.25</v>
      </c>
      <c r="E18" s="17" t="n">
        <f aca="false">E16+E17</f>
        <v>-46123.4375</v>
      </c>
      <c r="F18" s="17" t="n">
        <f aca="false">F16+F17</f>
        <v>56094.390625</v>
      </c>
    </row>
    <row r="20" customFormat="false" ht="15" hidden="false" customHeight="true" outlineLevel="0" collapsed="false">
      <c r="A20" s="7" t="s">
        <v>150</v>
      </c>
      <c r="B20" s="24" t="n">
        <f aca="false">B13+B18</f>
        <v>887462</v>
      </c>
      <c r="C20" s="24" t="n">
        <f aca="false">C13+C18</f>
        <v>544405</v>
      </c>
      <c r="D20" s="24" t="n">
        <f aca="false">D13+D18</f>
        <v>684983.25</v>
      </c>
      <c r="E20" s="24" t="n">
        <f aca="false">E13+E18</f>
        <v>638859.8125</v>
      </c>
      <c r="F20" s="24" t="n">
        <f aca="false">F13+F18</f>
        <v>694954.203125</v>
      </c>
    </row>
    <row r="22" customFormat="false" ht="15" hidden="false" customHeight="true" outlineLevel="0" collapsed="false">
      <c r="A22" s="1" t="s">
        <v>151</v>
      </c>
      <c r="B22" s="27" t="n">
        <f aca="false">B8</f>
        <v>562862</v>
      </c>
      <c r="C22" s="27" t="n">
        <f aca="false">B22*(1+$B$9)</f>
        <v>591005.1</v>
      </c>
      <c r="D22" s="27" t="n">
        <f aca="false">C22*(1+$B$9)</f>
        <v>620555.355</v>
      </c>
      <c r="E22" s="27" t="n">
        <f aca="false">D22*(1+$B$9)</f>
        <v>651583.12275</v>
      </c>
      <c r="F22" s="27" t="n">
        <f aca="false">E22*(1+$B$9)</f>
        <v>684162.2788875</v>
      </c>
    </row>
    <row r="23" customFormat="false" ht="15" hidden="false" customHeight="true" outlineLevel="0" collapsed="false">
      <c r="A23" s="7" t="s">
        <v>152</v>
      </c>
      <c r="B23" s="28" t="n">
        <f aca="false">B20/B22</f>
        <v>1.57669553105379</v>
      </c>
      <c r="C23" s="28" t="n">
        <f aca="false">C20/C22</f>
        <v>0.921151103433795</v>
      </c>
      <c r="D23" s="28" t="n">
        <f aca="false">D20/D22</f>
        <v>1.10382296193383</v>
      </c>
      <c r="E23" s="28" t="n">
        <f aca="false">E20/E22</f>
        <v>0.980473235408091</v>
      </c>
      <c r="F23" s="28" t="n">
        <f aca="false">F20/F22</f>
        <v>1.01577392465286</v>
      </c>
    </row>
    <row r="26" customFormat="false" ht="15" hidden="false" customHeight="true" outlineLevel="0" collapsed="false">
      <c r="A26" s="4" t="s">
        <v>153</v>
      </c>
    </row>
    <row r="27" customFormat="false" ht="15" hidden="false" customHeight="true" outlineLevel="0" collapsed="false">
      <c r="A27" s="1" t="s">
        <v>154</v>
      </c>
      <c r="B27" s="14" t="n">
        <v>5618000</v>
      </c>
    </row>
    <row r="28" customFormat="false" ht="15" hidden="false" customHeight="true" outlineLevel="0" collapsed="false">
      <c r="A28" s="1" t="s">
        <v>155</v>
      </c>
      <c r="B28" s="29" t="n">
        <v>0.03225</v>
      </c>
    </row>
    <row r="29" customFormat="false" ht="15" hidden="false" customHeight="true" outlineLevel="0" collapsed="false">
      <c r="A29" s="1" t="s">
        <v>156</v>
      </c>
      <c r="B29" s="27" t="n">
        <f aca="false">B27*B28</f>
        <v>181180.5</v>
      </c>
    </row>
    <row r="31" customFormat="false" ht="15" hidden="false" customHeight="true" outlineLevel="0" collapsed="false">
      <c r="A31" s="1" t="s">
        <v>157</v>
      </c>
      <c r="B31" s="30" t="n">
        <v>0.06</v>
      </c>
    </row>
    <row r="32" customFormat="false" ht="15" hidden="false" customHeight="true" outlineLevel="0" collapsed="false">
      <c r="A32" s="1" t="s">
        <v>158</v>
      </c>
      <c r="B32" s="27" t="n">
        <f aca="false">B27*B31</f>
        <v>337080</v>
      </c>
    </row>
    <row r="33" customFormat="false" ht="15" hidden="false" customHeight="true" outlineLevel="0" collapsed="false">
      <c r="A33" s="1" t="s">
        <v>159</v>
      </c>
      <c r="B33" s="31" t="n">
        <f aca="false">B32-B29</f>
        <v>155899.5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2026-05-26T22:42:11Z</dcterms:created>
  <dc:creator>openpyxl</dc:creator>
  <dc:description/>
  <dc:language>en-US</dc:language>
  <cp:lastModifiedBy/>
  <dcterms:modified xsi:type="dcterms:W3CDTF">2026-05-26T22:42:31Z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