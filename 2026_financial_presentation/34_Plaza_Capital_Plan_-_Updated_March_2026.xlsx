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 A - Full Sidewalk" sheetId="1" r:id="rId4"/>
    <sheet state="visible" name="Scenario B - Targeted Repair" sheetId="2" r:id="rId5"/>
    <sheet state="visible" name="Scenario Comparison" sheetId="3" r:id="rId6"/>
  </sheets>
  <definedNames/>
  <calcPr/>
  <extLst>
    <ext uri="GoogleSheetsCustomDataVersion2">
      <go:sheetsCustomData xmlns:go="http://customooxmlschemas.google.com/" r:id="rId7" roundtripDataChecksum="PGwOcqqItAtIbgbfWuUcRF0HQ3MP5Q1zZgAfhSKwy0w="/>
    </ext>
  </extLst>
</workbook>
</file>

<file path=xl/sharedStrings.xml><?xml version="1.0" encoding="utf-8"?>
<sst xmlns="http://schemas.openxmlformats.org/spreadsheetml/2006/main" count="119" uniqueCount="65">
  <si>
    <t>34 Plaza Owners Corp.</t>
  </si>
  <si>
    <t>Updated Capital Plan — Full Replacement ($230K)</t>
  </si>
  <si>
    <t>Prepared for Board Meeting — March 2026</t>
  </si>
  <si>
    <t>KEY ASSUMPTIONS</t>
  </si>
  <si>
    <t>Starting Reserve Balance (Audited 12/31/2025):</t>
  </si>
  <si>
    <t>Source: Draft Audited Financial Statements</t>
  </si>
  <si>
    <t>Annual Capital Contribution (2026):</t>
  </si>
  <si>
    <t>Capital Contribution Annual Growth Rate:</t>
  </si>
  <si>
    <t>Remaining Capital Assessment (2025 assessment tail):</t>
  </si>
  <si>
    <t>Annual General Capital Maintenance Allowance:</t>
  </si>
  <si>
    <t>Based on 2023 actuals (~$131K) + inflation buffer</t>
  </si>
  <si>
    <t>Mortgage Maturity (3.225% interest-only, $5.618M):</t>
  </si>
  <si>
    <t>12/1/2028</t>
  </si>
  <si>
    <t>KEY RISK — Refinancing required</t>
  </si>
  <si>
    <t>UPCOMING PROJECTS</t>
  </si>
  <si>
    <t>2026</t>
  </si>
  <si>
    <t>2027</t>
  </si>
  <si>
    <t>2028</t>
  </si>
  <si>
    <t>2029</t>
  </si>
  <si>
    <t>2030</t>
  </si>
  <si>
    <t>FISP/Local Law 11 — SAFE Filing</t>
  </si>
  <si>
    <t>Sidewalks &amp; Landscaping</t>
  </si>
  <si>
    <t>Professional Space Buildout</t>
  </si>
  <si>
    <t>Balance from Garage</t>
  </si>
  <si>
    <t>Elevator</t>
  </si>
  <si>
    <t>G Level</t>
  </si>
  <si>
    <t>Lobby HVAC</t>
  </si>
  <si>
    <t>Lobby Renovation</t>
  </si>
  <si>
    <t>FISP/Local Law 11 — Major Facade Work</t>
  </si>
  <si>
    <t>Est. 2031-2032</t>
  </si>
  <si>
    <t>General Capital Maintenance</t>
  </si>
  <si>
    <t>TOTAL PROJECTS</t>
  </si>
  <si>
    <t>RESERVE CASH FLOW</t>
  </si>
  <si>
    <t>Beginning Reserve Cash</t>
  </si>
  <si>
    <t>Capital Assessment Income</t>
  </si>
  <si>
    <t>Capital Contribution</t>
  </si>
  <si>
    <t>Total Inflows</t>
  </si>
  <si>
    <t>Less: Project Spending</t>
  </si>
  <si>
    <t>Net Change in Reserves</t>
  </si>
  <si>
    <t>Ending Reserve Cash, Projected</t>
  </si>
  <si>
    <t>Three Months Maintenance (benchmark):</t>
  </si>
  <si>
    <t>Reserve as % of 3-Month Maintenance:</t>
  </si>
  <si>
    <t>NOTES</t>
  </si>
  <si>
    <t>1. Garage SREM LL126 ($196,494) was paid in 2025 — removed from 2026 plan.</t>
  </si>
  <si>
    <t>2. Sidewalks: Full Replacement ($230K) option (was $300,000 in prior plan).</t>
  </si>
  <si>
    <t>3. FISP: $25K SAFE filing in 2026; major facade work deferred to next cycle (est. 2031-2032).</t>
  </si>
  <si>
    <t>4. Professional space buildout of $25K added for 2026.</t>
  </si>
  <si>
    <t>5. General Capital Maintenance of $150K/yr based on 2023 actuals (~$131K) + inflation buffer.</t>
  </si>
  <si>
    <t>6. Mortgage ($5.618M at 3.225%) matures 12/1/2028 — refinancing will impact cash flow.</t>
  </si>
  <si>
    <t>7. Capital contribution assumes 5% annual growth (yellow-highlighted assumption).</t>
  </si>
  <si>
    <t>8. Assessment income reflects tail of $1.2M two-year special assessment approved 2025.</t>
  </si>
  <si>
    <t>Updated Capital Plan — Targeted Tile Repair ($30K)</t>
  </si>
  <si>
    <t>Balance From Garage</t>
  </si>
  <si>
    <t xml:space="preserve">Local Law 11 Proposal </t>
  </si>
  <si>
    <t>2. Sidewalks: Targeted Tile Repair ($30K) option (was $300,000 in prior plan).</t>
  </si>
  <si>
    <t>Capital Plan — Scenario Comparison</t>
  </si>
  <si>
    <t>Scenario A — Ending Reserve (Full $230K)</t>
  </si>
  <si>
    <t>Scenario B — Ending Reserve (Targeted $30K)</t>
  </si>
  <si>
    <t>Difference (B minus A)</t>
  </si>
  <si>
    <t>The targeted repair option preserves $200,000 more in reserves through the full projection period.</t>
  </si>
  <si>
    <t>However, full sidewalk replacement eliminates the recurring maintenance liability.</t>
  </si>
  <si>
    <t>RESERVE ADEQUACY CHECK</t>
  </si>
  <si>
    <t>Scenario A — Reserve as % of 3-Mo Maint.</t>
  </si>
  <si>
    <t>Scenario B — Reserve as % of 3-Mo Maint.</t>
  </si>
  <si>
    <t>NOTE: Both scenarios include $150K/yr general capital maintenance allocation (elevator repairs, plumbing, doors/windows,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</si>
</sst>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;&quot;($&quot;#,##0\);\-"/>
    <numFmt numFmtId="165" formatCode="0.0%"/>
  </numFmts>
  <fonts count="20">
    <font>
      <sz val="11.0"/>
      <color theme="1"/>
      <name val="Calibri"/>
      <scheme val="minor"/>
    </font>
    <font>
      <b/>
      <sz val="14.0"/>
      <color theme="1"/>
      <name val="Arial"/>
    </font>
    <font>
      <b/>
      <sz val="12.0"/>
      <color rgb="FF333333"/>
      <name val="Arial"/>
    </font>
    <font>
      <i/>
      <sz val="10.0"/>
      <color rgb="FF666666"/>
      <name val="Arial"/>
    </font>
    <font>
      <b/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000FF"/>
      <name val="Arial"/>
    </font>
    <font>
      <i/>
      <sz val="9.0"/>
      <color rgb="FF888888"/>
      <name val="Arial"/>
    </font>
    <font>
      <b/>
      <sz val="10.0"/>
      <color rgb="FFCC0000"/>
      <name val="Arial"/>
    </font>
    <font>
      <b/>
      <sz val="9.0"/>
      <color rgb="FFCC0000"/>
      <name val="Arial"/>
    </font>
    <font>
      <i/>
      <sz val="10.0"/>
      <color rgb="FF888888"/>
      <name val="Arial"/>
    </font>
    <font>
      <b/>
      <sz val="10.0"/>
      <color theme="1"/>
      <name val="Arial"/>
    </font>
    <font>
      <sz val="10.0"/>
      <color rgb="FFCC0000"/>
      <name val="Arial"/>
    </font>
    <font>
      <i/>
      <sz val="10.0"/>
      <color theme="1"/>
      <name val="Arial"/>
    </font>
    <font>
      <i/>
      <sz val="10.0"/>
      <color rgb="FF0000FF"/>
      <name val="Arial"/>
    </font>
    <font>
      <b/>
      <i/>
      <sz val="10.0"/>
      <color theme="1"/>
      <name val="Arial"/>
    </font>
    <font>
      <sz val="9.0"/>
      <color rgb="FF444444"/>
      <name val="Arial"/>
    </font>
    <font>
      <b/>
      <sz val="10.0"/>
      <color rgb="FF008000"/>
      <name val="Arial"/>
    </font>
    <font>
      <i/>
      <sz val="9.0"/>
      <color rgb="FF444444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5">
    <border/>
    <border>
      <left/>
      <right/>
      <top/>
      <bottom/>
    </border>
    <border>
      <top style="medium">
        <color rgb="FF000000"/>
      </top>
      <bottom style="double">
        <color rgb="FF000000"/>
      </bottom>
    </border>
    <border>
      <top style="thin">
        <color rgb="FF000000"/>
      </top>
    </border>
    <border>
      <left/>
      <right/>
      <top style="medium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3" fontId="7" numFmtId="165" xfId="0" applyAlignment="1" applyBorder="1" applyFill="1" applyFont="1" applyNumberFormat="1">
      <alignment shrinkToFit="0" vertical="bottom" wrapText="0"/>
    </xf>
    <xf borderId="1" fillId="3" fontId="7" numFmtId="164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12" numFmtId="164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2" fillId="0" fontId="12" numFmtId="164" xfId="0" applyAlignment="1" applyBorder="1" applyFont="1" applyNumberFormat="1">
      <alignment shrinkToFit="0" vertical="bottom" wrapText="0"/>
    </xf>
    <xf borderId="1" fillId="5" fontId="12" numFmtId="0" xfId="0" applyAlignment="1" applyBorder="1" applyFill="1" applyFont="1">
      <alignment shrinkToFit="0" vertical="bottom" wrapText="0"/>
    </xf>
    <xf borderId="1" fillId="5" fontId="12" numFmtId="164" xfId="0" applyAlignment="1" applyBorder="1" applyFont="1" applyNumberFormat="1">
      <alignment shrinkToFit="0" vertical="bottom" wrapText="0"/>
    </xf>
    <xf borderId="3" fillId="0" fontId="12" numFmtId="164" xfId="0" applyAlignment="1" applyBorder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1" fillId="4" fontId="12" numFmtId="0" xfId="0" applyAlignment="1" applyBorder="1" applyFont="1">
      <alignment shrinkToFit="0" vertical="bottom" wrapText="0"/>
    </xf>
    <xf borderId="4" fillId="4" fontId="12" numFmtId="164" xfId="0" applyAlignment="1" applyBorder="1" applyFont="1" applyNumberForma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4" xfId="0" applyAlignment="1" applyFont="1" applyNumberFormat="1">
      <alignment shrinkToFit="0" vertical="bottom" wrapText="0"/>
    </xf>
    <xf borderId="0" fillId="0" fontId="16" numFmtId="9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3" fontId="7" numFmtId="164" xfId="0" applyAlignment="1" applyFont="1" applyNumberFormat="1">
      <alignment readingOrder="0" shrinkToFit="0" vertical="bottom" wrapText="0"/>
    </xf>
    <xf borderId="0" fillId="0" fontId="12" numFmtId="164" xfId="0" applyAlignment="1" applyFont="1" applyNumberFormat="1">
      <alignment readingOrder="0"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0" fillId="0" fontId="18" numFmtId="164" xfId="0" applyAlignment="1" applyFont="1" applyNumberForma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0" fillId="0" fontId="18" numFmtId="9" xfId="0" applyAlignment="1" applyFont="1" applyNumberFormat="1">
      <alignment shrinkToFit="0" vertical="bottom" wrapText="0"/>
    </xf>
    <xf borderId="0" fillId="0" fontId="1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6" width="16.0"/>
    <col customWidth="1" min="7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5"/>
      <c r="C5" s="5"/>
    </row>
    <row r="6">
      <c r="A6" s="6" t="s">
        <v>4</v>
      </c>
      <c r="B6" s="7">
        <v>1141745.0</v>
      </c>
      <c r="C6" s="8" t="s">
        <v>5</v>
      </c>
    </row>
    <row r="7">
      <c r="A7" s="6" t="s">
        <v>6</v>
      </c>
      <c r="B7" s="7">
        <v>262500.0</v>
      </c>
    </row>
    <row r="8">
      <c r="A8" s="6" t="s">
        <v>7</v>
      </c>
      <c r="B8" s="9">
        <v>0.05</v>
      </c>
    </row>
    <row r="9">
      <c r="A9" s="6" t="s">
        <v>8</v>
      </c>
      <c r="B9" s="7">
        <v>187217.0</v>
      </c>
    </row>
    <row r="10">
      <c r="A10" s="6" t="s">
        <v>9</v>
      </c>
      <c r="B10" s="10">
        <v>150000.0</v>
      </c>
      <c r="C10" s="8" t="s">
        <v>10</v>
      </c>
    </row>
    <row r="11">
      <c r="A11" s="6" t="s">
        <v>11</v>
      </c>
      <c r="B11" s="11" t="s">
        <v>12</v>
      </c>
      <c r="C11" s="12" t="s">
        <v>13</v>
      </c>
    </row>
    <row r="13">
      <c r="A13" s="13" t="s">
        <v>14</v>
      </c>
      <c r="B13" s="14" t="s">
        <v>15</v>
      </c>
      <c r="C13" s="14" t="s">
        <v>16</v>
      </c>
      <c r="D13" s="14" t="s">
        <v>17</v>
      </c>
      <c r="E13" s="14" t="s">
        <v>18</v>
      </c>
      <c r="F13" s="14" t="s">
        <v>19</v>
      </c>
    </row>
    <row r="14">
      <c r="A14" s="6" t="s">
        <v>20</v>
      </c>
      <c r="B14" s="7">
        <v>25000.0</v>
      </c>
      <c r="C14" s="15"/>
      <c r="D14" s="15"/>
      <c r="E14" s="15"/>
      <c r="F14" s="15"/>
    </row>
    <row r="15">
      <c r="A15" s="6" t="s">
        <v>21</v>
      </c>
      <c r="B15" s="7">
        <v>230000.0</v>
      </c>
      <c r="C15" s="15"/>
      <c r="D15" s="15"/>
      <c r="E15" s="15"/>
      <c r="F15" s="15"/>
    </row>
    <row r="16">
      <c r="A16" s="6" t="s">
        <v>22</v>
      </c>
      <c r="B16" s="7">
        <v>25000.0</v>
      </c>
      <c r="C16" s="15"/>
      <c r="D16" s="15"/>
      <c r="E16" s="15"/>
      <c r="F16" s="15"/>
    </row>
    <row r="17">
      <c r="A17" s="16" t="s">
        <v>23</v>
      </c>
      <c r="B17" s="17">
        <v>44000.0</v>
      </c>
      <c r="C17" s="18"/>
      <c r="D17" s="18"/>
      <c r="E17" s="15"/>
      <c r="F17" s="15"/>
    </row>
    <row r="18">
      <c r="A18" s="6" t="s">
        <v>24</v>
      </c>
      <c r="B18" s="15"/>
      <c r="C18" s="18">
        <v>700000.0</v>
      </c>
      <c r="D18" s="18">
        <v>300000.0</v>
      </c>
      <c r="E18" s="15"/>
      <c r="F18" s="15"/>
    </row>
    <row r="19">
      <c r="A19" s="6" t="s">
        <v>25</v>
      </c>
      <c r="B19" s="15"/>
      <c r="D19" s="15"/>
      <c r="F19" s="7">
        <v>100000.0</v>
      </c>
    </row>
    <row r="20">
      <c r="A20" s="6" t="s">
        <v>26</v>
      </c>
      <c r="B20" s="15"/>
      <c r="C20" s="15"/>
      <c r="E20" s="7">
        <v>50000.0</v>
      </c>
      <c r="F20" s="15"/>
    </row>
    <row r="21">
      <c r="A21" s="6" t="s">
        <v>27</v>
      </c>
      <c r="B21" s="15"/>
      <c r="C21" s="15"/>
      <c r="E21" s="7">
        <v>150000.0</v>
      </c>
      <c r="F21" s="15"/>
    </row>
    <row r="22" ht="15.75" customHeight="1">
      <c r="A22" s="19" t="s">
        <v>28</v>
      </c>
      <c r="B22" s="15"/>
      <c r="C22" s="15"/>
      <c r="D22" s="15"/>
      <c r="E22" s="15"/>
      <c r="F22" s="20" t="s">
        <v>29</v>
      </c>
    </row>
    <row r="23" ht="15.75" customHeight="1">
      <c r="A23" s="6" t="s">
        <v>30</v>
      </c>
      <c r="B23" s="21">
        <f t="shared" ref="B23:F23" si="1">$B$10</f>
        <v>150000</v>
      </c>
      <c r="C23" s="21">
        <f t="shared" si="1"/>
        <v>150000</v>
      </c>
      <c r="D23" s="21">
        <f t="shared" si="1"/>
        <v>150000</v>
      </c>
      <c r="E23" s="21">
        <f t="shared" si="1"/>
        <v>150000</v>
      </c>
      <c r="F23" s="21">
        <f t="shared" si="1"/>
        <v>150000</v>
      </c>
    </row>
    <row r="24" ht="15.75" customHeight="1">
      <c r="A24" s="22" t="s">
        <v>31</v>
      </c>
      <c r="B24" s="23">
        <f t="shared" ref="B24:F24" si="2">SUM(B14:B23)</f>
        <v>474000</v>
      </c>
      <c r="C24" s="23">
        <f t="shared" si="2"/>
        <v>850000</v>
      </c>
      <c r="D24" s="23">
        <f t="shared" si="2"/>
        <v>450000</v>
      </c>
      <c r="E24" s="23">
        <f t="shared" si="2"/>
        <v>350000</v>
      </c>
      <c r="F24" s="23">
        <f t="shared" si="2"/>
        <v>250000</v>
      </c>
    </row>
    <row r="25" ht="15.75" customHeight="1"/>
    <row r="26" ht="15.75" customHeight="1">
      <c r="A26" s="4" t="s">
        <v>32</v>
      </c>
      <c r="B26" s="5"/>
      <c r="C26" s="5"/>
      <c r="D26" s="5"/>
      <c r="E26" s="5"/>
      <c r="F26" s="5"/>
    </row>
    <row r="27" ht="15.75" customHeight="1">
      <c r="A27" s="24" t="s">
        <v>33</v>
      </c>
      <c r="B27" s="25">
        <f>B6</f>
        <v>1141745</v>
      </c>
      <c r="C27" s="25">
        <f t="shared" ref="C27:F27" si="3">B33</f>
        <v>1117462</v>
      </c>
      <c r="D27" s="25">
        <f t="shared" si="3"/>
        <v>574405</v>
      </c>
      <c r="E27" s="25">
        <f t="shared" si="3"/>
        <v>414983.25</v>
      </c>
      <c r="F27" s="25">
        <f t="shared" si="3"/>
        <v>368859.8125</v>
      </c>
    </row>
    <row r="28" ht="15.75" customHeight="1">
      <c r="A28" s="6" t="s">
        <v>34</v>
      </c>
      <c r="B28" s="7">
        <v>187217.0</v>
      </c>
      <c r="C28" s="7">
        <v>31318.0</v>
      </c>
      <c r="D28" s="7">
        <v>1172.0</v>
      </c>
      <c r="E28" s="7">
        <v>0.0</v>
      </c>
      <c r="F28" s="7">
        <v>0.0</v>
      </c>
    </row>
    <row r="29" ht="15.75" customHeight="1">
      <c r="A29" s="6" t="s">
        <v>35</v>
      </c>
      <c r="B29" s="21">
        <f>B7</f>
        <v>262500</v>
      </c>
      <c r="C29" s="21">
        <f t="shared" ref="C29:F29" si="4">B29*(1+$B$8)</f>
        <v>275625</v>
      </c>
      <c r="D29" s="21">
        <f t="shared" si="4"/>
        <v>289406.25</v>
      </c>
      <c r="E29" s="21">
        <f t="shared" si="4"/>
        <v>303876.5625</v>
      </c>
      <c r="F29" s="21">
        <f t="shared" si="4"/>
        <v>319070.3906</v>
      </c>
    </row>
    <row r="30" ht="15.75" customHeight="1">
      <c r="A30" s="22" t="s">
        <v>36</v>
      </c>
      <c r="B30" s="26">
        <f t="shared" ref="B30:F30" si="5">B28+B29</f>
        <v>449717</v>
      </c>
      <c r="C30" s="26">
        <f t="shared" si="5"/>
        <v>306943</v>
      </c>
      <c r="D30" s="26">
        <f t="shared" si="5"/>
        <v>290578.25</v>
      </c>
      <c r="E30" s="26">
        <f t="shared" si="5"/>
        <v>303876.5625</v>
      </c>
      <c r="F30" s="26">
        <f t="shared" si="5"/>
        <v>319070.3906</v>
      </c>
    </row>
    <row r="31" ht="15.75" customHeight="1">
      <c r="A31" s="6" t="s">
        <v>37</v>
      </c>
      <c r="B31" s="27">
        <f t="shared" ref="B31:F31" si="6">-B24</f>
        <v>-474000</v>
      </c>
      <c r="C31" s="27">
        <f t="shared" si="6"/>
        <v>-850000</v>
      </c>
      <c r="D31" s="27">
        <f t="shared" si="6"/>
        <v>-450000</v>
      </c>
      <c r="E31" s="27">
        <f t="shared" si="6"/>
        <v>-350000</v>
      </c>
      <c r="F31" s="27">
        <f t="shared" si="6"/>
        <v>-250000</v>
      </c>
    </row>
    <row r="32" ht="15.75" customHeight="1">
      <c r="A32" s="22" t="s">
        <v>38</v>
      </c>
      <c r="B32" s="26">
        <f t="shared" ref="B32:F32" si="7">B30+B31</f>
        <v>-24283</v>
      </c>
      <c r="C32" s="26">
        <f t="shared" si="7"/>
        <v>-543057</v>
      </c>
      <c r="D32" s="26">
        <f t="shared" si="7"/>
        <v>-159421.75</v>
      </c>
      <c r="E32" s="26">
        <f t="shared" si="7"/>
        <v>-46123.4375</v>
      </c>
      <c r="F32" s="26">
        <f t="shared" si="7"/>
        <v>69070.39063</v>
      </c>
    </row>
    <row r="33" ht="15.75" customHeight="1">
      <c r="A33" s="28" t="s">
        <v>39</v>
      </c>
      <c r="B33" s="29">
        <f t="shared" ref="B33:F33" si="8">B27+B32</f>
        <v>1117462</v>
      </c>
      <c r="C33" s="29">
        <f t="shared" si="8"/>
        <v>574405</v>
      </c>
      <c r="D33" s="29">
        <f t="shared" si="8"/>
        <v>414983.25</v>
      </c>
      <c r="E33" s="29">
        <f t="shared" si="8"/>
        <v>368859.8125</v>
      </c>
      <c r="F33" s="29">
        <f t="shared" si="8"/>
        <v>437930.2031</v>
      </c>
    </row>
    <row r="34" ht="15.75" customHeight="1"/>
    <row r="35" ht="15.75" customHeight="1">
      <c r="A35" s="30" t="s">
        <v>40</v>
      </c>
      <c r="B35" s="31">
        <v>562862.0</v>
      </c>
      <c r="C35" s="32">
        <f t="shared" ref="C35:F35" si="9">B35*(1+$B$8)</f>
        <v>591005.1</v>
      </c>
      <c r="D35" s="32">
        <f t="shared" si="9"/>
        <v>620555.355</v>
      </c>
      <c r="E35" s="32">
        <f t="shared" si="9"/>
        <v>651583.1228</v>
      </c>
      <c r="F35" s="32">
        <f t="shared" si="9"/>
        <v>684162.2789</v>
      </c>
    </row>
    <row r="36" ht="15.75" customHeight="1">
      <c r="A36" s="30" t="s">
        <v>41</v>
      </c>
      <c r="B36" s="33">
        <f t="shared" ref="B36:F36" si="10">IF(B35=0,0,B33/B35)</f>
        <v>1.985321446</v>
      </c>
      <c r="C36" s="33">
        <f t="shared" si="10"/>
        <v>0.9719120867</v>
      </c>
      <c r="D36" s="33">
        <f t="shared" si="10"/>
        <v>0.6687288195</v>
      </c>
      <c r="E36" s="33">
        <f t="shared" si="10"/>
        <v>0.5660978617</v>
      </c>
      <c r="F36" s="33">
        <f t="shared" si="10"/>
        <v>0.6400969721</v>
      </c>
    </row>
    <row r="37" ht="15.75" customHeight="1"/>
    <row r="38" ht="15.75" customHeight="1">
      <c r="A38" s="34" t="s">
        <v>42</v>
      </c>
    </row>
    <row r="39" ht="15.75" customHeight="1">
      <c r="A39" s="35" t="s">
        <v>43</v>
      </c>
    </row>
    <row r="40" ht="15.75" customHeight="1">
      <c r="A40" s="35" t="s">
        <v>44</v>
      </c>
    </row>
    <row r="41" ht="15.75" customHeight="1">
      <c r="A41" s="35" t="s">
        <v>45</v>
      </c>
    </row>
    <row r="42" ht="15.75" customHeight="1">
      <c r="A42" s="35" t="s">
        <v>46</v>
      </c>
    </row>
    <row r="43" ht="15.75" customHeight="1">
      <c r="A43" s="35" t="s">
        <v>47</v>
      </c>
    </row>
    <row r="44" ht="15.75" customHeight="1">
      <c r="A44" s="35" t="s">
        <v>48</v>
      </c>
    </row>
    <row r="45" ht="15.75" customHeight="1">
      <c r="A45" s="35" t="s">
        <v>49</v>
      </c>
    </row>
    <row r="46" ht="15.75" customHeight="1">
      <c r="A46" s="35" t="s">
        <v>50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A43:F43"/>
    <mergeCell ref="A44:F44"/>
    <mergeCell ref="A45:F45"/>
    <mergeCell ref="A46:F46"/>
    <mergeCell ref="A1:F1"/>
    <mergeCell ref="A2:F2"/>
    <mergeCell ref="A3:F3"/>
    <mergeCell ref="A39:F39"/>
    <mergeCell ref="A40:F40"/>
    <mergeCell ref="A41:F41"/>
    <mergeCell ref="A42:F4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6" width="16.0"/>
    <col customWidth="1" min="7" max="26" width="8.71"/>
  </cols>
  <sheetData>
    <row r="1">
      <c r="A1" s="1" t="s">
        <v>0</v>
      </c>
    </row>
    <row r="2">
      <c r="A2" s="2" t="s">
        <v>51</v>
      </c>
    </row>
    <row r="3">
      <c r="A3" s="3" t="s">
        <v>2</v>
      </c>
    </row>
    <row r="5">
      <c r="A5" s="4" t="s">
        <v>3</v>
      </c>
      <c r="B5" s="5"/>
      <c r="C5" s="5"/>
    </row>
    <row r="6">
      <c r="A6" s="6" t="s">
        <v>4</v>
      </c>
      <c r="B6" s="7">
        <v>1141745.0</v>
      </c>
      <c r="C6" s="8" t="s">
        <v>5</v>
      </c>
    </row>
    <row r="7">
      <c r="A7" s="6" t="s">
        <v>6</v>
      </c>
      <c r="B7" s="7">
        <v>262500.0</v>
      </c>
    </row>
    <row r="8">
      <c r="A8" s="6" t="s">
        <v>7</v>
      </c>
      <c r="B8" s="9">
        <v>0.05</v>
      </c>
    </row>
    <row r="9">
      <c r="A9" s="6" t="s">
        <v>8</v>
      </c>
      <c r="B9" s="7">
        <v>187217.0</v>
      </c>
    </row>
    <row r="10">
      <c r="A10" s="6" t="s">
        <v>9</v>
      </c>
      <c r="B10" s="10">
        <v>150000.0</v>
      </c>
      <c r="C10" s="8" t="s">
        <v>10</v>
      </c>
    </row>
    <row r="11">
      <c r="A11" s="6" t="s">
        <v>11</v>
      </c>
      <c r="B11" s="11" t="s">
        <v>12</v>
      </c>
      <c r="C11" s="12" t="s">
        <v>13</v>
      </c>
    </row>
    <row r="13">
      <c r="A13" s="13" t="s">
        <v>14</v>
      </c>
      <c r="B13" s="14" t="s">
        <v>15</v>
      </c>
      <c r="C13" s="14" t="s">
        <v>16</v>
      </c>
      <c r="D13" s="14" t="s">
        <v>17</v>
      </c>
      <c r="E13" s="14" t="s">
        <v>18</v>
      </c>
      <c r="F13" s="14" t="s">
        <v>19</v>
      </c>
    </row>
    <row r="14">
      <c r="A14" s="6" t="s">
        <v>20</v>
      </c>
      <c r="B14" s="7">
        <v>25000.0</v>
      </c>
      <c r="C14" s="15"/>
      <c r="D14" s="15"/>
      <c r="E14" s="15"/>
      <c r="F14" s="15"/>
    </row>
    <row r="15">
      <c r="A15" s="6" t="s">
        <v>21</v>
      </c>
      <c r="B15" s="36">
        <v>35000.0</v>
      </c>
      <c r="C15" s="15"/>
      <c r="D15" s="15"/>
      <c r="E15" s="15"/>
      <c r="F15" s="15"/>
    </row>
    <row r="16">
      <c r="A16" s="6" t="s">
        <v>22</v>
      </c>
      <c r="B16" s="7">
        <v>25000.0</v>
      </c>
      <c r="C16" s="15"/>
      <c r="D16" s="15"/>
      <c r="E16" s="15"/>
      <c r="F16" s="15"/>
    </row>
    <row r="17">
      <c r="A17" s="16" t="s">
        <v>52</v>
      </c>
      <c r="B17" s="17">
        <v>44000.0</v>
      </c>
      <c r="C17" s="18"/>
      <c r="D17" s="18"/>
      <c r="E17" s="15"/>
      <c r="F17" s="15"/>
    </row>
    <row r="18">
      <c r="A18" s="16" t="s">
        <v>53</v>
      </c>
      <c r="B18" s="15"/>
      <c r="C18" s="18"/>
      <c r="D18" s="18"/>
      <c r="E18" s="15"/>
      <c r="F18" s="17">
        <v>12976.0</v>
      </c>
    </row>
    <row r="19">
      <c r="A19" s="6" t="s">
        <v>24</v>
      </c>
      <c r="B19" s="17">
        <v>500000.0</v>
      </c>
      <c r="C19" s="18">
        <v>500000.0</v>
      </c>
      <c r="D19" s="18"/>
      <c r="E19" s="15"/>
      <c r="F19" s="15"/>
    </row>
    <row r="20">
      <c r="A20" s="6" t="s">
        <v>25</v>
      </c>
      <c r="B20" s="15"/>
      <c r="D20" s="15"/>
      <c r="F20" s="7">
        <v>100000.0</v>
      </c>
    </row>
    <row r="21">
      <c r="A21" s="6" t="s">
        <v>26</v>
      </c>
      <c r="B21" s="15"/>
      <c r="C21" s="15"/>
      <c r="E21" s="7">
        <v>50000.0</v>
      </c>
      <c r="F21" s="15"/>
    </row>
    <row r="22">
      <c r="A22" s="6" t="s">
        <v>27</v>
      </c>
      <c r="B22" s="15"/>
      <c r="C22" s="15"/>
      <c r="E22" s="7">
        <v>150000.0</v>
      </c>
      <c r="F22" s="15"/>
    </row>
    <row r="23" ht="15.75" customHeight="1">
      <c r="A23" s="19" t="s">
        <v>28</v>
      </c>
      <c r="B23" s="15"/>
      <c r="C23" s="15"/>
      <c r="D23" s="15"/>
      <c r="E23" s="15"/>
      <c r="F23" s="20" t="s">
        <v>29</v>
      </c>
    </row>
    <row r="24" ht="15.75" customHeight="1">
      <c r="A24" s="6" t="s">
        <v>30</v>
      </c>
      <c r="B24" s="37">
        <f>B10/2</f>
        <v>75000</v>
      </c>
      <c r="C24" s="21">
        <f t="shared" ref="C24:F24" si="1">$B$10</f>
        <v>150000</v>
      </c>
      <c r="D24" s="21">
        <f t="shared" si="1"/>
        <v>150000</v>
      </c>
      <c r="E24" s="21">
        <f t="shared" si="1"/>
        <v>150000</v>
      </c>
      <c r="F24" s="21">
        <f t="shared" si="1"/>
        <v>150000</v>
      </c>
    </row>
    <row r="25" ht="15.75" customHeight="1">
      <c r="A25" s="22" t="s">
        <v>31</v>
      </c>
      <c r="B25" s="23">
        <f t="shared" ref="B25:F25" si="2">SUM(B14:B24)</f>
        <v>704000</v>
      </c>
      <c r="C25" s="23">
        <f t="shared" si="2"/>
        <v>650000</v>
      </c>
      <c r="D25" s="23">
        <f t="shared" si="2"/>
        <v>150000</v>
      </c>
      <c r="E25" s="23">
        <f t="shared" si="2"/>
        <v>350000</v>
      </c>
      <c r="F25" s="23">
        <f t="shared" si="2"/>
        <v>262976</v>
      </c>
    </row>
    <row r="26" ht="15.75" customHeight="1"/>
    <row r="27" ht="15.75" customHeight="1">
      <c r="A27" s="4" t="s">
        <v>32</v>
      </c>
      <c r="B27" s="5"/>
      <c r="C27" s="5"/>
      <c r="D27" s="5"/>
      <c r="E27" s="5"/>
      <c r="F27" s="5"/>
    </row>
    <row r="28" ht="15.75" customHeight="1">
      <c r="A28" s="24" t="s">
        <v>33</v>
      </c>
      <c r="B28" s="25">
        <f>B6</f>
        <v>1141745</v>
      </c>
      <c r="C28" s="25">
        <f t="shared" ref="C28:F28" si="3">B34</f>
        <v>887462</v>
      </c>
      <c r="D28" s="25">
        <f t="shared" si="3"/>
        <v>544405</v>
      </c>
      <c r="E28" s="25">
        <f t="shared" si="3"/>
        <v>684983.25</v>
      </c>
      <c r="F28" s="25">
        <f t="shared" si="3"/>
        <v>638859.8125</v>
      </c>
    </row>
    <row r="29" ht="15.75" customHeight="1">
      <c r="A29" s="6" t="s">
        <v>34</v>
      </c>
      <c r="B29" s="7">
        <v>187217.0</v>
      </c>
      <c r="C29" s="7">
        <v>31318.0</v>
      </c>
      <c r="D29" s="7">
        <v>1172.0</v>
      </c>
      <c r="E29" s="7">
        <v>0.0</v>
      </c>
      <c r="F29" s="7">
        <v>0.0</v>
      </c>
    </row>
    <row r="30" ht="15.75" customHeight="1">
      <c r="A30" s="6" t="s">
        <v>35</v>
      </c>
      <c r="B30" s="21">
        <f>B7</f>
        <v>262500</v>
      </c>
      <c r="C30" s="21">
        <f t="shared" ref="C30:F30" si="4">B30*(1+$B$8)</f>
        <v>275625</v>
      </c>
      <c r="D30" s="21">
        <f t="shared" si="4"/>
        <v>289406.25</v>
      </c>
      <c r="E30" s="21">
        <f t="shared" si="4"/>
        <v>303876.5625</v>
      </c>
      <c r="F30" s="21">
        <f t="shared" si="4"/>
        <v>319070.3906</v>
      </c>
    </row>
    <row r="31" ht="15.75" customHeight="1">
      <c r="A31" s="22" t="s">
        <v>36</v>
      </c>
      <c r="B31" s="26">
        <f t="shared" ref="B31:F31" si="5">B29+B30</f>
        <v>449717</v>
      </c>
      <c r="C31" s="26">
        <f t="shared" si="5"/>
        <v>306943</v>
      </c>
      <c r="D31" s="26">
        <f t="shared" si="5"/>
        <v>290578.25</v>
      </c>
      <c r="E31" s="26">
        <f t="shared" si="5"/>
        <v>303876.5625</v>
      </c>
      <c r="F31" s="26">
        <f t="shared" si="5"/>
        <v>319070.3906</v>
      </c>
    </row>
    <row r="32" ht="15.75" customHeight="1">
      <c r="A32" s="6" t="s">
        <v>37</v>
      </c>
      <c r="B32" s="27">
        <f t="shared" ref="B32:F32" si="6">-B25</f>
        <v>-704000</v>
      </c>
      <c r="C32" s="27">
        <f t="shared" si="6"/>
        <v>-650000</v>
      </c>
      <c r="D32" s="27">
        <f t="shared" si="6"/>
        <v>-150000</v>
      </c>
      <c r="E32" s="27">
        <f t="shared" si="6"/>
        <v>-350000</v>
      </c>
      <c r="F32" s="27">
        <f t="shared" si="6"/>
        <v>-262976</v>
      </c>
    </row>
    <row r="33" ht="15.75" customHeight="1">
      <c r="A33" s="22" t="s">
        <v>38</v>
      </c>
      <c r="B33" s="26">
        <f t="shared" ref="B33:F33" si="7">B31+B32</f>
        <v>-254283</v>
      </c>
      <c r="C33" s="26">
        <f t="shared" si="7"/>
        <v>-343057</v>
      </c>
      <c r="D33" s="26">
        <f t="shared" si="7"/>
        <v>140578.25</v>
      </c>
      <c r="E33" s="26">
        <f t="shared" si="7"/>
        <v>-46123.4375</v>
      </c>
      <c r="F33" s="26">
        <f t="shared" si="7"/>
        <v>56094.39063</v>
      </c>
    </row>
    <row r="34" ht="15.75" customHeight="1">
      <c r="A34" s="28" t="s">
        <v>39</v>
      </c>
      <c r="B34" s="29">
        <f t="shared" ref="B34:F34" si="8">B28+B33</f>
        <v>887462</v>
      </c>
      <c r="C34" s="29">
        <f t="shared" si="8"/>
        <v>544405</v>
      </c>
      <c r="D34" s="29">
        <f t="shared" si="8"/>
        <v>684983.25</v>
      </c>
      <c r="E34" s="29">
        <f t="shared" si="8"/>
        <v>638859.8125</v>
      </c>
      <c r="F34" s="29">
        <f t="shared" si="8"/>
        <v>694954.2031</v>
      </c>
    </row>
    <row r="35" ht="15.75" customHeight="1"/>
    <row r="36" ht="15.75" customHeight="1">
      <c r="A36" s="30" t="s">
        <v>40</v>
      </c>
      <c r="B36" s="31">
        <v>562862.0</v>
      </c>
      <c r="C36" s="32">
        <f t="shared" ref="C36:F36" si="9">B36*(1+$B$8)</f>
        <v>591005.1</v>
      </c>
      <c r="D36" s="32">
        <f t="shared" si="9"/>
        <v>620555.355</v>
      </c>
      <c r="E36" s="32">
        <f t="shared" si="9"/>
        <v>651583.1228</v>
      </c>
      <c r="F36" s="32">
        <f t="shared" si="9"/>
        <v>684162.2789</v>
      </c>
    </row>
    <row r="37" ht="15.75" customHeight="1">
      <c r="A37" s="30" t="s">
        <v>41</v>
      </c>
      <c r="B37" s="33">
        <f t="shared" ref="B37:F37" si="10">IF(B36=0,0,B34/B36)</f>
        <v>1.576695531</v>
      </c>
      <c r="C37" s="33">
        <f t="shared" si="10"/>
        <v>0.9211511034</v>
      </c>
      <c r="D37" s="33">
        <f t="shared" si="10"/>
        <v>1.103822962</v>
      </c>
      <c r="E37" s="33">
        <f t="shared" si="10"/>
        <v>0.9804732354</v>
      </c>
      <c r="F37" s="33">
        <f t="shared" si="10"/>
        <v>1.015773925</v>
      </c>
    </row>
    <row r="38" ht="15.75" customHeight="1"/>
    <row r="39" ht="15.75" customHeight="1">
      <c r="A39" s="34" t="s">
        <v>42</v>
      </c>
    </row>
    <row r="40" ht="15.75" customHeight="1">
      <c r="A40" s="35" t="s">
        <v>43</v>
      </c>
    </row>
    <row r="41" ht="15.75" customHeight="1">
      <c r="A41" s="35" t="s">
        <v>54</v>
      </c>
    </row>
    <row r="42" ht="15.75" customHeight="1">
      <c r="A42" s="35" t="s">
        <v>45</v>
      </c>
    </row>
    <row r="43" ht="15.75" customHeight="1">
      <c r="A43" s="35" t="s">
        <v>46</v>
      </c>
    </row>
    <row r="44" ht="15.75" customHeight="1">
      <c r="A44" s="35" t="s">
        <v>47</v>
      </c>
    </row>
    <row r="45" ht="15.75" customHeight="1">
      <c r="A45" s="35" t="s">
        <v>48</v>
      </c>
    </row>
    <row r="46" ht="15.75" customHeight="1">
      <c r="A46" s="35" t="s">
        <v>49</v>
      </c>
    </row>
    <row r="47" ht="15.75" customHeight="1">
      <c r="A47" s="35" t="s">
        <v>50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1">
    <mergeCell ref="A44:F44"/>
    <mergeCell ref="A45:F45"/>
    <mergeCell ref="A46:F46"/>
    <mergeCell ref="A47:F47"/>
    <mergeCell ref="A1:F1"/>
    <mergeCell ref="A2:F2"/>
    <mergeCell ref="A3:F3"/>
    <mergeCell ref="A40:F40"/>
    <mergeCell ref="A41:F41"/>
    <mergeCell ref="A42:F42"/>
    <mergeCell ref="A43:F4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6" width="16.0"/>
    <col customWidth="1" min="7" max="26" width="8.71"/>
  </cols>
  <sheetData>
    <row r="1">
      <c r="A1" s="1" t="s">
        <v>0</v>
      </c>
    </row>
    <row r="2">
      <c r="A2" s="2" t="s">
        <v>55</v>
      </c>
    </row>
    <row r="4">
      <c r="B4" s="38" t="s">
        <v>15</v>
      </c>
      <c r="C4" s="38" t="s">
        <v>16</v>
      </c>
      <c r="D4" s="38" t="s">
        <v>17</v>
      </c>
      <c r="E4" s="38" t="s">
        <v>18</v>
      </c>
      <c r="F4" s="38" t="s">
        <v>19</v>
      </c>
    </row>
    <row r="5">
      <c r="A5" s="22" t="s">
        <v>56</v>
      </c>
      <c r="B5" s="39">
        <f>'Scenario A - Full Sidewalk'!B33</f>
        <v>1117462</v>
      </c>
      <c r="C5" s="39">
        <f>'Scenario A - Full Sidewalk'!C33</f>
        <v>574405</v>
      </c>
      <c r="D5" s="39">
        <f>'Scenario A - Full Sidewalk'!D33</f>
        <v>414983.25</v>
      </c>
      <c r="E5" s="39">
        <f>'Scenario A - Full Sidewalk'!E33</f>
        <v>368859.8125</v>
      </c>
      <c r="F5" s="39">
        <f>'Scenario A - Full Sidewalk'!F33</f>
        <v>437930.2031</v>
      </c>
    </row>
    <row r="6">
      <c r="A6" s="22" t="s">
        <v>57</v>
      </c>
      <c r="B6" s="39">
        <f>'Scenario B - Targeted Repair'!B34</f>
        <v>887462</v>
      </c>
      <c r="C6" s="39">
        <f>'Scenario B - Targeted Repair'!C34</f>
        <v>544405</v>
      </c>
      <c r="D6" s="39">
        <f>'Scenario B - Targeted Repair'!D34</f>
        <v>684983.25</v>
      </c>
      <c r="E6" s="39">
        <f>'Scenario B - Targeted Repair'!E34</f>
        <v>638859.8125</v>
      </c>
      <c r="F6" s="39">
        <f>'Scenario B - Targeted Repair'!F34</f>
        <v>694954.2031</v>
      </c>
    </row>
    <row r="7">
      <c r="A7" s="22" t="s">
        <v>58</v>
      </c>
      <c r="B7" s="23">
        <f t="shared" ref="B7:F7" si="1">B6-B5</f>
        <v>-230000</v>
      </c>
      <c r="C7" s="23">
        <f t="shared" si="1"/>
        <v>-30000</v>
      </c>
      <c r="D7" s="23">
        <f t="shared" si="1"/>
        <v>270000</v>
      </c>
      <c r="E7" s="23">
        <f t="shared" si="1"/>
        <v>270000</v>
      </c>
      <c r="F7" s="23">
        <f t="shared" si="1"/>
        <v>257024</v>
      </c>
    </row>
    <row r="9">
      <c r="A9" s="30" t="s">
        <v>59</v>
      </c>
    </row>
    <row r="10">
      <c r="A10" s="30" t="s">
        <v>60</v>
      </c>
    </row>
    <row r="12">
      <c r="A12" s="13" t="s">
        <v>61</v>
      </c>
      <c r="B12" s="40"/>
      <c r="C12" s="40"/>
      <c r="D12" s="40"/>
      <c r="E12" s="40"/>
      <c r="F12" s="40"/>
    </row>
    <row r="13">
      <c r="A13" s="6" t="s">
        <v>62</v>
      </c>
      <c r="B13" s="41">
        <f>'Scenario A - Full Sidewalk'!B36</f>
        <v>1.985321446</v>
      </c>
      <c r="C13" s="41">
        <f>'Scenario A - Full Sidewalk'!C36</f>
        <v>0.9719120867</v>
      </c>
      <c r="D13" s="41">
        <f>'Scenario A - Full Sidewalk'!D36</f>
        <v>0.6687288195</v>
      </c>
      <c r="E13" s="41">
        <f>'Scenario A - Full Sidewalk'!E36</f>
        <v>0.5660978617</v>
      </c>
      <c r="F13" s="41">
        <f>'Scenario A - Full Sidewalk'!F36</f>
        <v>0.6400969721</v>
      </c>
    </row>
    <row r="14">
      <c r="A14" s="6" t="s">
        <v>63</v>
      </c>
      <c r="B14" s="41">
        <f>'Scenario B - Targeted Repair'!B37</f>
        <v>1.576695531</v>
      </c>
      <c r="C14" s="41">
        <f>'Scenario B - Targeted Repair'!C37</f>
        <v>0.9211511034</v>
      </c>
      <c r="D14" s="41">
        <f>'Scenario B - Targeted Repair'!D37</f>
        <v>1.103822962</v>
      </c>
      <c r="E14" s="41">
        <f>'Scenario B - Targeted Repair'!E37</f>
        <v>0.9804732354</v>
      </c>
      <c r="F14" s="41">
        <f>'Scenario B - Targeted Repair'!F37</f>
        <v>1.015773925</v>
      </c>
    </row>
    <row r="16">
      <c r="A16" s="42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9:F9"/>
    <mergeCell ref="A10:F10"/>
    <mergeCell ref="A16:F1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2026-03-30T23:27:19Z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